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CMM149\Downloads\"/>
    </mc:Choice>
  </mc:AlternateContent>
  <bookViews>
    <workbookView xWindow="0" yWindow="0" windowWidth="28800" windowHeight="12180"/>
  </bookViews>
  <sheets>
    <sheet name="WBS" sheetId="1" r:id="rId1"/>
    <sheet name="Holidays" sheetId="10" r:id="rId2"/>
  </sheets>
  <definedNames>
    <definedName name="_xlnm._FilterDatabase" localSheetId="0" hidden="1">WBS!$A$22:$AY$50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1" l="1"/>
  <c r="S43" i="1"/>
  <c r="M27" i="1" l="1"/>
  <c r="O27" i="1"/>
  <c r="N27" i="1"/>
  <c r="P24" i="1"/>
  <c r="O23" i="1"/>
  <c r="O24" i="1" s="1"/>
  <c r="M23" i="1"/>
  <c r="M24" i="1" s="1"/>
  <c r="N23" i="1"/>
  <c r="N24" i="1" s="1"/>
  <c r="L24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L26" i="1"/>
  <c r="P50" i="1"/>
  <c r="L50" i="1"/>
  <c r="K50" i="1"/>
  <c r="O49" i="1"/>
  <c r="O50" i="1" s="1"/>
  <c r="N49" i="1"/>
  <c r="S49" i="1" s="1"/>
  <c r="M49" i="1"/>
  <c r="M50" i="1" s="1"/>
  <c r="P48" i="1"/>
  <c r="L48" i="1"/>
  <c r="K48" i="1"/>
  <c r="O47" i="1"/>
  <c r="O48" i="1" s="1"/>
  <c r="N47" i="1"/>
  <c r="N48" i="1" s="1"/>
  <c r="M47" i="1"/>
  <c r="M48" i="1" s="1"/>
  <c r="P46" i="1"/>
  <c r="L46" i="1"/>
  <c r="K46" i="1"/>
  <c r="O45" i="1"/>
  <c r="O46" i="1" s="1"/>
  <c r="N45" i="1"/>
  <c r="N46" i="1" s="1"/>
  <c r="M45" i="1"/>
  <c r="M46" i="1" s="1"/>
  <c r="P44" i="1"/>
  <c r="L44" i="1"/>
  <c r="K44" i="1"/>
  <c r="O43" i="1"/>
  <c r="O44" i="1" s="1"/>
  <c r="N43" i="1"/>
  <c r="M43" i="1"/>
  <c r="M44" i="1" s="1"/>
  <c r="P42" i="1"/>
  <c r="L42" i="1"/>
  <c r="K42" i="1"/>
  <c r="O41" i="1"/>
  <c r="O42" i="1" s="1"/>
  <c r="N41" i="1"/>
  <c r="S41" i="1" s="1"/>
  <c r="M41" i="1"/>
  <c r="M42" i="1" s="1"/>
  <c r="P40" i="1"/>
  <c r="L40" i="1"/>
  <c r="K40" i="1"/>
  <c r="O39" i="1"/>
  <c r="O40" i="1" s="1"/>
  <c r="N39" i="1"/>
  <c r="S39" i="1" s="1"/>
  <c r="T39" i="1" s="1"/>
  <c r="T40" i="1" s="1"/>
  <c r="M39" i="1"/>
  <c r="M40" i="1" s="1"/>
  <c r="L38" i="1"/>
  <c r="K38" i="1"/>
  <c r="O37" i="1"/>
  <c r="O38" i="1" s="1"/>
  <c r="N37" i="1"/>
  <c r="S37" i="1" s="1"/>
  <c r="M37" i="1"/>
  <c r="M38" i="1" s="1"/>
  <c r="P36" i="1"/>
  <c r="L36" i="1"/>
  <c r="K36" i="1"/>
  <c r="O35" i="1"/>
  <c r="O36" i="1" s="1"/>
  <c r="N36" i="1"/>
  <c r="M35" i="1"/>
  <c r="M36" i="1" s="1"/>
  <c r="N40" i="1" l="1"/>
  <c r="N38" i="1"/>
  <c r="N50" i="1"/>
  <c r="S45" i="1"/>
  <c r="T45" i="1" s="1"/>
  <c r="T46" i="1" s="1"/>
  <c r="S35" i="1"/>
  <c r="S36" i="1" s="1"/>
  <c r="T43" i="1"/>
  <c r="T44" i="1" s="1"/>
  <c r="T49" i="1"/>
  <c r="T50" i="1" s="1"/>
  <c r="S50" i="1"/>
  <c r="S47" i="1"/>
  <c r="N44" i="1"/>
  <c r="T37" i="1"/>
  <c r="T38" i="1" s="1"/>
  <c r="S38" i="1"/>
  <c r="T41" i="1"/>
  <c r="T42" i="1" s="1"/>
  <c r="S42" i="1"/>
  <c r="S40" i="1"/>
  <c r="N42" i="1"/>
  <c r="V20" i="1"/>
  <c r="S44" i="1" l="1"/>
  <c r="T35" i="1"/>
  <c r="T36" i="1" s="1"/>
  <c r="S46" i="1"/>
  <c r="T47" i="1"/>
  <c r="T48" i="1" s="1"/>
  <c r="S48" i="1"/>
  <c r="L28" i="1"/>
  <c r="M33" i="1" l="1"/>
  <c r="M34" i="1" s="1"/>
  <c r="N33" i="1"/>
  <c r="N34" i="1" s="1"/>
  <c r="O33" i="1"/>
  <c r="O34" i="1" s="1"/>
  <c r="K34" i="1"/>
  <c r="L34" i="1"/>
  <c r="P34" i="1"/>
  <c r="S33" i="1" l="1"/>
  <c r="T33" i="1" s="1"/>
  <c r="T34" i="1" s="1"/>
  <c r="M29" i="1"/>
  <c r="S34" i="1" l="1"/>
  <c r="K32" i="1"/>
  <c r="K30" i="1"/>
  <c r="M31" i="1"/>
  <c r="M32" i="1" s="1"/>
  <c r="N28" i="1"/>
  <c r="M25" i="1"/>
  <c r="M26" i="1" s="1"/>
  <c r="L32" i="1" l="1"/>
  <c r="L30" i="1"/>
  <c r="M30" i="1"/>
  <c r="M28" i="1"/>
  <c r="P32" i="1" l="1"/>
  <c r="P30" i="1"/>
  <c r="P28" i="1"/>
  <c r="O25" i="1" l="1"/>
  <c r="Q9" i="1"/>
  <c r="N25" i="1"/>
  <c r="S25" i="1" s="1"/>
  <c r="N29" i="1" l="1"/>
  <c r="O29" i="1"/>
  <c r="O30" i="1" s="1"/>
  <c r="N31" i="1"/>
  <c r="O31" i="1"/>
  <c r="O32" i="1" s="1"/>
  <c r="N30" i="1" l="1"/>
  <c r="S29" i="1"/>
  <c r="S30" i="1" s="1"/>
  <c r="N32" i="1"/>
  <c r="S31" i="1"/>
  <c r="S32" i="1" l="1"/>
  <c r="T31" i="1"/>
  <c r="T32" i="1" s="1"/>
  <c r="K28" i="1"/>
  <c r="O28" i="1"/>
  <c r="S27" i="1" l="1"/>
  <c r="S28" i="1" l="1"/>
  <c r="T27" i="1"/>
  <c r="T28" i="1" s="1"/>
  <c r="T29" i="1"/>
  <c r="T30" i="1" s="1"/>
  <c r="Q5" i="1" l="1"/>
  <c r="Q7" i="1"/>
  <c r="Q15" i="1" l="1"/>
  <c r="Q13" i="1"/>
  <c r="Q11" i="1" l="1"/>
  <c r="T26" i="1"/>
  <c r="P26" i="1"/>
  <c r="K26" i="1"/>
  <c r="O26" i="1"/>
  <c r="N26" i="1"/>
  <c r="V12" i="1" l="1"/>
  <c r="V14" i="1"/>
  <c r="V11" i="1"/>
  <c r="V15" i="1"/>
  <c r="V10" i="1"/>
  <c r="V13" i="1"/>
  <c r="W15" i="1"/>
  <c r="AA15" i="1"/>
  <c r="Y15" i="1"/>
  <c r="W13" i="1"/>
  <c r="AA13" i="1"/>
  <c r="X13" i="1"/>
  <c r="Z15" i="1"/>
  <c r="X15" i="1"/>
  <c r="Y13" i="1"/>
  <c r="Z14" i="1"/>
  <c r="W10" i="1"/>
  <c r="X10" i="1"/>
  <c r="Y10" i="1"/>
  <c r="W12" i="1"/>
  <c r="Z10" i="1"/>
  <c r="X12" i="1"/>
  <c r="AA10" i="1"/>
  <c r="Y12" i="1"/>
  <c r="Z12" i="1"/>
  <c r="X14" i="1"/>
  <c r="AA12" i="1"/>
  <c r="Y14" i="1"/>
  <c r="W14" i="1"/>
  <c r="AA14" i="1"/>
  <c r="W11" i="1"/>
  <c r="X11" i="1"/>
  <c r="Y11" i="1"/>
  <c r="Z11" i="1"/>
  <c r="AA11" i="1"/>
  <c r="Z13" i="1"/>
  <c r="AB15" i="1"/>
  <c r="AC13" i="1"/>
  <c r="AC11" i="1"/>
  <c r="AD11" i="1"/>
  <c r="AE11" i="1"/>
  <c r="AF11" i="1"/>
  <c r="AG11" i="1"/>
  <c r="AH11" i="1"/>
  <c r="AB11" i="1"/>
  <c r="AC15" i="1"/>
  <c r="AD13" i="1"/>
  <c r="AD15" i="1"/>
  <c r="AB13" i="1"/>
  <c r="AE13" i="1"/>
  <c r="AE15" i="1"/>
  <c r="AF13" i="1"/>
  <c r="AH15" i="1"/>
  <c r="AF15" i="1"/>
  <c r="AG13" i="1"/>
  <c r="AC10" i="1"/>
  <c r="AC12" i="1"/>
  <c r="AD10" i="1"/>
  <c r="AD12" i="1"/>
  <c r="AE10" i="1"/>
  <c r="AE12" i="1"/>
  <c r="AF10" i="1"/>
  <c r="AF12" i="1"/>
  <c r="AG10" i="1"/>
  <c r="AG12" i="1"/>
  <c r="AH10" i="1"/>
  <c r="AH12" i="1"/>
  <c r="AB10" i="1"/>
  <c r="AB14" i="1"/>
  <c r="AC14" i="1"/>
  <c r="AB12" i="1"/>
  <c r="AD14" i="1"/>
  <c r="AE14" i="1"/>
  <c r="AF14" i="1"/>
  <c r="AG14" i="1"/>
  <c r="AH14" i="1"/>
  <c r="AG15" i="1"/>
  <c r="AH13" i="1"/>
  <c r="S26" i="1"/>
  <c r="K24" i="1" l="1"/>
  <c r="V5" i="1" l="1"/>
  <c r="V9" i="1"/>
  <c r="V7" i="1"/>
  <c r="V4" i="1"/>
  <c r="V8" i="1"/>
  <c r="V6" i="1"/>
  <c r="AE8" i="1"/>
  <c r="AJ8" i="1"/>
  <c r="AV8" i="1"/>
  <c r="AW8" i="1"/>
  <c r="AN8" i="1"/>
  <c r="AO8" i="1"/>
  <c r="AI8" i="1"/>
  <c r="AM8" i="1"/>
  <c r="AF8" i="1"/>
  <c r="AH8" i="1"/>
  <c r="AL8" i="1"/>
  <c r="AR8" i="1"/>
  <c r="W8" i="1"/>
  <c r="AP8" i="1"/>
  <c r="AD8" i="1"/>
  <c r="AQ8" i="1"/>
  <c r="AS8" i="1"/>
  <c r="AT8" i="1"/>
  <c r="AB8" i="1"/>
  <c r="AK8" i="1"/>
  <c r="AC8" i="1"/>
  <c r="AX8" i="1"/>
  <c r="AA8" i="1"/>
  <c r="AG8" i="1"/>
  <c r="Z8" i="1"/>
  <c r="Y8" i="1"/>
  <c r="AU8" i="1"/>
  <c r="X8" i="1"/>
  <c r="AA4" i="1"/>
  <c r="Y6" i="1"/>
  <c r="Z6" i="1"/>
  <c r="AA6" i="1"/>
  <c r="W4" i="1"/>
  <c r="X4" i="1"/>
  <c r="Y4" i="1"/>
  <c r="W6" i="1"/>
  <c r="Z4" i="1"/>
  <c r="X6" i="1"/>
  <c r="AA7" i="1"/>
  <c r="W7" i="1"/>
  <c r="Z5" i="1"/>
  <c r="Z7" i="1"/>
  <c r="Y7" i="1"/>
  <c r="Y5" i="1"/>
  <c r="X7" i="1"/>
  <c r="X5" i="1"/>
  <c r="AA5" i="1"/>
  <c r="W5" i="1"/>
  <c r="AB4" i="1"/>
  <c r="AB6" i="1"/>
  <c r="AC4" i="1"/>
  <c r="AC6" i="1"/>
  <c r="AD4" i="1"/>
  <c r="AD6" i="1"/>
  <c r="AE4" i="1"/>
  <c r="AE6" i="1"/>
  <c r="AF4" i="1"/>
  <c r="AF6" i="1"/>
  <c r="AG4" i="1"/>
  <c r="AG6" i="1"/>
  <c r="AH4" i="1"/>
  <c r="AH6" i="1"/>
  <c r="AG7" i="1"/>
  <c r="AB5" i="1"/>
  <c r="AF7" i="1"/>
  <c r="AE7" i="1"/>
  <c r="AH5" i="1"/>
  <c r="AD7" i="1"/>
  <c r="AG5" i="1"/>
  <c r="AD5" i="1"/>
  <c r="AC7" i="1"/>
  <c r="AF5" i="1"/>
  <c r="AB7" i="1"/>
  <c r="AE5" i="1"/>
  <c r="AH7" i="1"/>
  <c r="AC5" i="1"/>
  <c r="S23" i="1"/>
  <c r="T23" i="1" l="1"/>
  <c r="T24" i="1" s="1"/>
  <c r="S24" i="1"/>
  <c r="Z17" i="1"/>
  <c r="AA17" i="1"/>
  <c r="AE17" i="1"/>
  <c r="AH17" i="1"/>
  <c r="AG17" i="1"/>
  <c r="Y17" i="1"/>
  <c r="AC17" i="1"/>
  <c r="V17" i="1"/>
  <c r="AD17" i="1"/>
  <c r="AB17" i="1"/>
  <c r="X17" i="1"/>
  <c r="AF17" i="1"/>
  <c r="W17" i="1"/>
  <c r="V18" i="1"/>
  <c r="R16" i="1" l="1"/>
  <c r="S3" i="1"/>
  <c r="Y9" i="1" l="1"/>
  <c r="Y18" i="1" s="1"/>
  <c r="W9" i="1"/>
  <c r="W18" i="1" s="1"/>
  <c r="X9" i="1"/>
  <c r="X18" i="1" s="1"/>
  <c r="Z9" i="1"/>
  <c r="Z18" i="1" s="1"/>
  <c r="AA9" i="1"/>
  <c r="AA18" i="1" s="1"/>
  <c r="AC9" i="1"/>
  <c r="AC18" i="1" s="1"/>
  <c r="AD9" i="1"/>
  <c r="AD18" i="1" s="1"/>
  <c r="AE9" i="1"/>
  <c r="AE18" i="1" s="1"/>
  <c r="AF9" i="1"/>
  <c r="AF18" i="1" s="1"/>
  <c r="AG9" i="1"/>
  <c r="AG18" i="1" s="1"/>
  <c r="AH9" i="1"/>
  <c r="AH18" i="1" s="1"/>
  <c r="AB9" i="1"/>
  <c r="AB18" i="1" s="1"/>
  <c r="S16" i="1"/>
  <c r="AV10" i="1" l="1"/>
  <c r="AU4" i="1"/>
  <c r="AS9" i="1" l="1"/>
  <c r="AP9" i="1"/>
  <c r="AX4" i="1"/>
  <c r="AR6" i="1"/>
  <c r="AR7" i="1"/>
  <c r="AN6" i="1"/>
  <c r="AR9" i="1"/>
  <c r="AU9" i="1"/>
  <c r="AP4" i="1"/>
  <c r="AQ9" i="1"/>
  <c r="AP7" i="1"/>
  <c r="AW5" i="1"/>
  <c r="AV6" i="1"/>
  <c r="AV7" i="1"/>
  <c r="AW6" i="1"/>
  <c r="AP6" i="1"/>
  <c r="AT7" i="1"/>
  <c r="AQ7" i="1"/>
  <c r="AS7" i="1"/>
  <c r="AP15" i="1"/>
  <c r="AX13" i="1"/>
  <c r="AR15" i="1"/>
  <c r="AT5" i="1"/>
  <c r="AN7" i="1"/>
  <c r="AQ6" i="1"/>
  <c r="AU5" i="1"/>
  <c r="AU7" i="1"/>
  <c r="AX7" i="1"/>
  <c r="AS5" i="1"/>
  <c r="AV4" i="1"/>
  <c r="AT6" i="1"/>
  <c r="AR5" i="1"/>
  <c r="AS4" i="1"/>
  <c r="AN13" i="1"/>
  <c r="AV13" i="1"/>
  <c r="AT4" i="1"/>
  <c r="AW7" i="1"/>
  <c r="AW4" i="1"/>
  <c r="AN5" i="1"/>
  <c r="AU6" i="1"/>
  <c r="AO4" i="1"/>
  <c r="AU10" i="1"/>
  <c r="AO11" i="1"/>
  <c r="AO10" i="1"/>
  <c r="AX11" i="1"/>
  <c r="AS10" i="1"/>
  <c r="AU14" i="1"/>
  <c r="AV14" i="1"/>
  <c r="AR10" i="1"/>
  <c r="AW12" i="1"/>
  <c r="AO12" i="1"/>
  <c r="AX14" i="1"/>
  <c r="AN14" i="1"/>
  <c r="AP12" i="1"/>
  <c r="AQ11" i="1"/>
  <c r="AS11" i="1"/>
  <c r="AV15" i="1"/>
  <c r="AN10" i="1"/>
  <c r="AQ13" i="1"/>
  <c r="AW13" i="1"/>
  <c r="AS14" i="1"/>
  <c r="AP11" i="1"/>
  <c r="AT14" i="1"/>
  <c r="AT11" i="1"/>
  <c r="AV11" i="1"/>
  <c r="AT13" i="1"/>
  <c r="AX10" i="1"/>
  <c r="AQ10" i="1"/>
  <c r="AR11" i="1"/>
  <c r="AS12" i="1"/>
  <c r="AR13" i="1"/>
  <c r="AP13" i="1"/>
  <c r="AW11" i="1"/>
  <c r="AX12" i="1"/>
  <c r="AQ15" i="1"/>
  <c r="AU11" i="1"/>
  <c r="AQ14" i="1"/>
  <c r="AR14" i="1"/>
  <c r="AS15" i="1"/>
  <c r="AN12" i="1"/>
  <c r="AU15" i="1"/>
  <c r="AW15" i="1"/>
  <c r="AO13" i="1"/>
  <c r="AS13" i="1"/>
  <c r="AT12" i="1"/>
  <c r="AQ12" i="1"/>
  <c r="AP10" i="1"/>
  <c r="AR12" i="1"/>
  <c r="AO14" i="1"/>
  <c r="AW10" i="1"/>
  <c r="AN11" i="1"/>
  <c r="AW14" i="1"/>
  <c r="AT10" i="1"/>
  <c r="AU12" i="1"/>
  <c r="AV12" i="1"/>
  <c r="AN9" i="1"/>
  <c r="AV5" i="1"/>
  <c r="AO6" i="1"/>
  <c r="AX5" i="1"/>
  <c r="AN4" i="1"/>
  <c r="AQ5" i="1"/>
  <c r="AQ4" i="1"/>
  <c r="AR4" i="1"/>
  <c r="AN15" i="1"/>
  <c r="AP14" i="1"/>
  <c r="AO15" i="1"/>
  <c r="AT15" i="1"/>
  <c r="AX15" i="1"/>
  <c r="AO9" i="1"/>
  <c r="AU13" i="1"/>
  <c r="AX9" i="1"/>
  <c r="AT9" i="1"/>
  <c r="AS6" i="1"/>
  <c r="AV9" i="1"/>
  <c r="AW9" i="1"/>
  <c r="AO5" i="1"/>
  <c r="AO7" i="1"/>
  <c r="AX6" i="1"/>
  <c r="AP5" i="1"/>
  <c r="AM4" i="1"/>
  <c r="AM6" i="1"/>
  <c r="AJ7" i="1"/>
  <c r="AJ6" i="1"/>
  <c r="AJ5" i="1"/>
  <c r="AK4" i="1"/>
  <c r="AI4" i="1"/>
  <c r="AI5" i="1"/>
  <c r="AI6" i="1"/>
  <c r="AL7" i="1"/>
  <c r="AM5" i="1"/>
  <c r="AK6" i="1"/>
  <c r="AK5" i="1"/>
  <c r="AL6" i="1"/>
  <c r="AL5" i="1"/>
  <c r="AL4" i="1"/>
  <c r="AM7" i="1"/>
  <c r="AI7" i="1"/>
  <c r="AK7" i="1"/>
  <c r="AJ4" i="1"/>
  <c r="AI12" i="1"/>
  <c r="AL15" i="1"/>
  <c r="AM13" i="1"/>
  <c r="AL14" i="1"/>
  <c r="AJ15" i="1"/>
  <c r="AL13" i="1"/>
  <c r="AJ12" i="1"/>
  <c r="AK13" i="1"/>
  <c r="AM15" i="1"/>
  <c r="AI15" i="1"/>
  <c r="AM14" i="1"/>
  <c r="AM12" i="1"/>
  <c r="AI14" i="1"/>
  <c r="AK12" i="1"/>
  <c r="AJ13" i="1"/>
  <c r="AJ14" i="1"/>
  <c r="AL12" i="1"/>
  <c r="AI13" i="1"/>
  <c r="AK14" i="1"/>
  <c r="AK15" i="1"/>
  <c r="AP18" i="1" l="1"/>
  <c r="AV18" i="1"/>
  <c r="AO18" i="1"/>
  <c r="AQ17" i="1"/>
  <c r="AS18" i="1"/>
  <c r="AN17" i="1"/>
  <c r="AR17" i="1"/>
  <c r="AU17" i="1"/>
  <c r="AW17" i="1"/>
  <c r="AR18" i="1"/>
  <c r="AO17" i="1"/>
  <c r="AS17" i="1"/>
  <c r="AX17" i="1"/>
  <c r="AX18" i="1"/>
  <c r="AU18" i="1"/>
  <c r="AP17" i="1"/>
  <c r="AQ18" i="1"/>
  <c r="AN18" i="1"/>
  <c r="AT17" i="1"/>
  <c r="AV17" i="1"/>
  <c r="AT18" i="1"/>
  <c r="AW18" i="1"/>
  <c r="AK9" i="1"/>
  <c r="AI9" i="1"/>
  <c r="AL9" i="1"/>
  <c r="AM9" i="1"/>
  <c r="AJ9" i="1"/>
  <c r="AL10" i="1"/>
  <c r="AL17" i="1" s="1"/>
  <c r="AK10" i="1"/>
  <c r="AK17" i="1" s="1"/>
  <c r="AI11" i="1"/>
  <c r="AK11" i="1"/>
  <c r="AL11" i="1"/>
  <c r="AI10" i="1"/>
  <c r="AI17" i="1" s="1"/>
  <c r="AM11" i="1"/>
  <c r="AJ11" i="1"/>
  <c r="AM10" i="1"/>
  <c r="AM17" i="1" s="1"/>
  <c r="AJ10" i="1"/>
  <c r="AJ17" i="1" s="1"/>
  <c r="AI18" i="1" l="1"/>
  <c r="AK18" i="1"/>
  <c r="AJ18" i="1"/>
  <c r="AM18" i="1"/>
  <c r="AL18" i="1"/>
  <c r="E19" i="1"/>
  <c r="T52" i="1" l="1"/>
  <c r="T53" i="1" s="1"/>
  <c r="AY7" i="1" l="1"/>
  <c r="AY15" i="1"/>
  <c r="AY11" i="1"/>
  <c r="AY9" i="1"/>
  <c r="AY13" i="1"/>
  <c r="AY8" i="1"/>
  <c r="AY4" i="1"/>
  <c r="AY5" i="1"/>
  <c r="AY12" i="1"/>
  <c r="AY6" i="1"/>
  <c r="AY14" i="1"/>
  <c r="AY10" i="1"/>
  <c r="AY18" i="1" l="1"/>
  <c r="AY17" i="1"/>
  <c r="R8" i="1" l="1"/>
  <c r="R12" i="1"/>
  <c r="S10" i="1"/>
  <c r="R10" i="1"/>
  <c r="S6" i="1"/>
  <c r="S8" i="1"/>
  <c r="R4" i="1"/>
  <c r="S12" i="1"/>
  <c r="S17" i="1"/>
  <c r="S14" i="1"/>
  <c r="R17" i="1"/>
  <c r="R14" i="1"/>
  <c r="S4" i="1"/>
  <c r="R6" i="1"/>
</calcChain>
</file>

<file path=xl/comments1.xml><?xml version="1.0" encoding="utf-8"?>
<comments xmlns="http://schemas.openxmlformats.org/spreadsheetml/2006/main">
  <authors>
    <author>藤原 博</author>
    <author>BCMM162</author>
  </authors>
  <commentList>
    <comment ref="R3" authorId="0" shapeId="0">
      <text>
        <r>
          <rPr>
            <sz val="8"/>
            <color indexed="81"/>
            <rFont val="メイリオ"/>
            <family val="3"/>
            <charset val="128"/>
          </rPr>
          <t>集計する月を入力します。</t>
        </r>
      </text>
    </comment>
    <comment ref="D21" authorId="0" shapeId="0">
      <text>
        <r>
          <rPr>
            <sz val="8"/>
            <color rgb="FF000000"/>
            <rFont val="メイリオ"/>
            <family val="3"/>
            <charset val="128"/>
          </rPr>
          <t>「作業項目」を入力します。</t>
        </r>
        <r>
          <rPr>
            <sz val="8"/>
            <color rgb="FF000000"/>
            <rFont val="メイリオ"/>
            <family val="3"/>
            <charset val="128"/>
          </rPr>
          <t xml:space="preserve">
</t>
        </r>
        <r>
          <rPr>
            <sz val="8"/>
            <color rgb="FF000000"/>
            <rFont val="メイリオ"/>
            <family val="3"/>
            <charset val="128"/>
          </rPr>
          <t>①種別：要望、インシデント</t>
        </r>
        <r>
          <rPr>
            <sz val="8"/>
            <color rgb="FF000000"/>
            <rFont val="メイリオ"/>
            <family val="3"/>
            <charset val="128"/>
          </rPr>
          <t xml:space="preserve">
</t>
        </r>
        <r>
          <rPr>
            <sz val="8"/>
            <color rgb="FF000000"/>
            <rFont val="メイリオ"/>
            <family val="3"/>
            <charset val="128"/>
          </rPr>
          <t>②件名</t>
        </r>
        <r>
          <rPr>
            <sz val="8"/>
            <color rgb="FF000000"/>
            <rFont val="メイリオ"/>
            <family val="3"/>
            <charset val="128"/>
          </rPr>
          <t xml:space="preserve">
</t>
        </r>
        <r>
          <rPr>
            <sz val="8"/>
            <color rgb="FF000000"/>
            <rFont val="メイリオ"/>
            <family val="3"/>
            <charset val="128"/>
          </rPr>
          <t>③タスク分解</t>
        </r>
      </text>
    </comment>
    <comment ref="K21" authorId="0" shapeId="0">
      <text>
        <r>
          <rPr>
            <sz val="8"/>
            <color indexed="81"/>
            <rFont val="メイリオ"/>
            <family val="3"/>
            <charset val="128"/>
          </rPr>
          <t>1行目「担当者」を入力します。</t>
        </r>
      </text>
    </comment>
    <comment ref="P21" authorId="1" shapeId="0">
      <text>
        <r>
          <rPr>
            <b/>
            <sz val="9"/>
            <color rgb="FF000000"/>
            <rFont val="Tahoma"/>
            <family val="2"/>
          </rPr>
          <t xml:space="preserve">BCMM162:
</t>
        </r>
        <r>
          <rPr>
            <b/>
            <sz val="9"/>
            <color rgb="FFFF0000"/>
            <rFont val="Tahoma"/>
            <family val="2"/>
          </rPr>
          <t>Fill here actual time of you did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Q21" authorId="0" shapeId="0">
      <text>
        <r>
          <rPr>
            <sz val="8"/>
            <color indexed="81"/>
            <rFont val="メイリオ"/>
            <family val="3"/>
            <charset val="128"/>
          </rPr>
          <t>「開始日」と「終了日」を入力します。
1行目は予定。
2行目は実績。</t>
        </r>
      </text>
    </comment>
    <comment ref="S21" authorId="0" shapeId="0">
      <text>
        <r>
          <rPr>
            <sz val="8"/>
            <color indexed="81"/>
            <rFont val="メイリオ"/>
            <family val="3"/>
            <charset val="128"/>
          </rPr>
          <t>残工数」を入力します。</t>
        </r>
      </text>
    </comment>
  </commentList>
</comments>
</file>

<file path=xl/sharedStrings.xml><?xml version="1.0" encoding="utf-8"?>
<sst xmlns="http://schemas.openxmlformats.org/spreadsheetml/2006/main" count="123" uniqueCount="50">
  <si>
    <t>担当者</t>
    <phoneticPr fontId="5"/>
  </si>
  <si>
    <t>予定</t>
    <rPh sb="0" eb="2">
      <t>ヨテイ</t>
    </rPh>
    <phoneticPr fontId="5"/>
  </si>
  <si>
    <t>実績</t>
    <rPh sb="0" eb="2">
      <t>ジッセキ</t>
    </rPh>
    <phoneticPr fontId="5"/>
  </si>
  <si>
    <t>入力</t>
    <rPh sb="0" eb="2">
      <t>ニュウリョク</t>
    </rPh>
    <phoneticPr fontId="5"/>
  </si>
  <si>
    <t>工数</t>
    <rPh sb="0" eb="2">
      <t>コウスウ</t>
    </rPh>
    <phoneticPr fontId="5"/>
  </si>
  <si>
    <t>区分</t>
    <rPh sb="0" eb="2">
      <t>クブン</t>
    </rPh>
    <phoneticPr fontId="5"/>
  </si>
  <si>
    <t>予定</t>
    <rPh sb="0" eb="2">
      <t>ヨテイ</t>
    </rPh>
    <phoneticPr fontId="3"/>
  </si>
  <si>
    <t>実績</t>
    <rPh sb="0" eb="2">
      <t>ジッセキ</t>
    </rPh>
    <phoneticPr fontId="3"/>
  </si>
  <si>
    <t>合計</t>
    <rPh sb="0" eb="2">
      <t>ゴウケイ</t>
    </rPh>
    <phoneticPr fontId="3"/>
  </si>
  <si>
    <t>各タスク単位でここから上にコピペ追加！！</t>
    <rPh sb="0" eb="1">
      <t>カク</t>
    </rPh>
    <rPh sb="4" eb="6">
      <t>タンイ</t>
    </rPh>
    <rPh sb="11" eb="12">
      <t>ウエ</t>
    </rPh>
    <rPh sb="16" eb="18">
      <t>ツイカ</t>
    </rPh>
    <phoneticPr fontId="3"/>
  </si>
  <si>
    <t>No.</t>
    <phoneticPr fontId="5"/>
  </si>
  <si>
    <t>終了日(実)</t>
    <rPh sb="0" eb="2">
      <t>シュウリョウ</t>
    </rPh>
    <rPh sb="2" eb="3">
      <t>ヒ</t>
    </rPh>
    <rPh sb="4" eb="5">
      <t>ジツ</t>
    </rPh>
    <phoneticPr fontId="3"/>
  </si>
  <si>
    <t>今日</t>
    <rPh sb="0" eb="2">
      <t>キョウ</t>
    </rPh>
    <phoneticPr fontId="3"/>
  </si>
  <si>
    <t>実装</t>
    <rPh sb="0" eb="2">
      <t>ジッソウ</t>
    </rPh>
    <phoneticPr fontId="3"/>
  </si>
  <si>
    <t>1</t>
    <phoneticPr fontId="3"/>
  </si>
  <si>
    <t>WBS作成</t>
    <rPh sb="3" eb="5">
      <t>サクセイ</t>
    </rPh>
    <phoneticPr fontId="3"/>
  </si>
  <si>
    <t>・レビュー</t>
  </si>
  <si>
    <t>2</t>
  </si>
  <si>
    <t>3</t>
  </si>
  <si>
    <t>4</t>
  </si>
  <si>
    <t>終了日(予)</t>
  </si>
  <si>
    <t>月</t>
  </si>
  <si>
    <t>・Fix review result</t>
  </si>
  <si>
    <t>作業項目</t>
  </si>
  <si>
    <t>・JP Review Doc</t>
  </si>
  <si>
    <t>±</t>
  </si>
  <si>
    <t>工数</t>
  </si>
  <si>
    <t>Plan</t>
  </si>
  <si>
    <t>Rest H</t>
  </si>
  <si>
    <t>消化</t>
  </si>
  <si>
    <t>Person1</t>
  </si>
  <si>
    <t>Person2</t>
  </si>
  <si>
    <t>Person3</t>
  </si>
  <si>
    <t>Person4</t>
  </si>
  <si>
    <t>Person5</t>
  </si>
  <si>
    <t>Person6</t>
  </si>
  <si>
    <t>PHASE1</t>
  </si>
  <si>
    <t>LOGIN</t>
  </si>
  <si>
    <t xml:space="preserve">・Code Review </t>
  </si>
  <si>
    <t>PIC Registration</t>
  </si>
  <si>
    <t>中身項目種類</t>
  </si>
  <si>
    <t>Task Registration</t>
  </si>
  <si>
    <t>月別工数</t>
  </si>
  <si>
    <t>予定</t>
  </si>
  <si>
    <t>実績</t>
  </si>
  <si>
    <t>開始日(実)</t>
  </si>
  <si>
    <t>開始日(予)</t>
  </si>
  <si>
    <t>残工数</t>
  </si>
  <si>
    <t>進捗％</t>
  </si>
  <si>
    <t>日別工数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</si>
</sst>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_-;\-* #,##0_-;_-* &quot;-&quot;_-;_-@_-"/>
    <numFmt numFmtId="165" formatCode="m/d;@"/>
    <numFmt numFmtId="166" formatCode="dd"/>
    <numFmt numFmtId="167" formatCode="aaa"/>
    <numFmt numFmtId="168" formatCode="0.00_);[Red]\(0.00\)"/>
    <numFmt numFmtId="169" formatCode="0.0%"/>
    <numFmt numFmtId="170" formatCode="m&quot;月&quot;"/>
  </numFmts>
  <fonts count="2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9"/>
      <color theme="1"/>
      <name val="Meiryo UI"/>
      <family val="2"/>
      <charset val="128"/>
    </font>
    <font>
      <sz val="10"/>
      <name val="メイリオ"/>
      <family val="3"/>
      <charset val="128"/>
    </font>
    <font>
      <sz val="8"/>
      <color theme="1"/>
      <name val="メイリオ"/>
      <family val="3"/>
      <charset val="128"/>
    </font>
    <font>
      <sz val="8"/>
      <name val="メイリオ"/>
      <family val="3"/>
      <charset val="128"/>
    </font>
    <font>
      <b/>
      <sz val="8"/>
      <color theme="1"/>
      <name val="メイリオ"/>
      <family val="3"/>
      <charset val="128"/>
    </font>
    <font>
      <sz val="8"/>
      <color theme="0"/>
      <name val="メイリオ"/>
      <family val="3"/>
      <charset val="128"/>
    </font>
    <font>
      <sz val="8"/>
      <color indexed="9"/>
      <name val="メイリオ"/>
      <family val="3"/>
      <charset val="128"/>
    </font>
    <font>
      <sz val="8"/>
      <color theme="0" tint="-0.14999847407452621"/>
      <name val="メイリオ"/>
      <family val="3"/>
      <charset val="128"/>
    </font>
    <font>
      <sz val="8"/>
      <color theme="0" tint="-0.14996795556505021"/>
      <name val="メイリオ"/>
      <family val="3"/>
      <charset val="128"/>
    </font>
    <font>
      <sz val="8"/>
      <color theme="0" tint="-0.499984740745262"/>
      <name val="メイリオ"/>
      <family val="3"/>
      <charset val="128"/>
    </font>
    <font>
      <b/>
      <sz val="8"/>
      <color rgb="FFFF0000"/>
      <name val="メイリオ"/>
      <family val="3"/>
      <charset val="128"/>
    </font>
    <font>
      <sz val="8"/>
      <color indexed="81"/>
      <name val="メイリオ"/>
      <family val="3"/>
      <charset val="128"/>
    </font>
    <font>
      <b/>
      <sz val="8"/>
      <name val="メイリオ"/>
      <family val="3"/>
      <charset val="128"/>
    </font>
    <font>
      <u/>
      <sz val="11"/>
      <color theme="10"/>
      <name val="Calibri"/>
      <family val="2"/>
      <scheme val="minor"/>
    </font>
    <font>
      <b/>
      <sz val="9"/>
      <color rgb="FF000000"/>
      <name val="Tahoma"/>
      <family val="2"/>
    </font>
    <font>
      <b/>
      <sz val="9"/>
      <color rgb="FFFF0000"/>
      <name val="Tahoma"/>
      <family val="2"/>
    </font>
    <font>
      <sz val="9"/>
      <color rgb="FF000000"/>
      <name val="Tahoma"/>
      <family val="2"/>
    </font>
    <font>
      <sz val="8"/>
      <color rgb="FF000000"/>
      <name val="メイリオ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dotted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dotted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rgb="FFFF0000"/>
      </right>
      <top style="thin">
        <color indexed="64"/>
      </top>
      <bottom/>
      <diagonal/>
    </border>
    <border>
      <left style="thin">
        <color indexed="64"/>
      </left>
      <right style="dotted">
        <color rgb="FFFF0000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4" fillId="0" borderId="0"/>
    <xf numFmtId="0" fontId="7" fillId="0" borderId="0"/>
    <xf numFmtId="38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9" fillId="0" borderId="0"/>
    <xf numFmtId="0" fontId="2" fillId="0" borderId="0">
      <alignment vertical="center"/>
    </xf>
    <xf numFmtId="0" fontId="1" fillId="0" borderId="0"/>
    <xf numFmtId="164" fontId="2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79">
    <xf numFmtId="0" fontId="0" fillId="0" borderId="0" xfId="0">
      <alignment vertical="center"/>
    </xf>
    <xf numFmtId="0" fontId="10" fillId="0" borderId="0" xfId="0" applyFont="1">
      <alignment vertical="center"/>
    </xf>
    <xf numFmtId="165" fontId="11" fillId="0" borderId="0" xfId="0" applyNumberFormat="1" applyFont="1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12" xfId="0" applyFont="1" applyBorder="1">
      <alignment vertical="center"/>
    </xf>
    <xf numFmtId="170" fontId="10" fillId="0" borderId="2" xfId="0" applyNumberFormat="1" applyFont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11" fillId="3" borderId="8" xfId="1" applyFont="1" applyFill="1" applyBorder="1" applyAlignment="1">
      <alignment horizontal="center" vertical="center" wrapText="1"/>
    </xf>
    <xf numFmtId="166" fontId="13" fillId="4" borderId="2" xfId="0" applyNumberFormat="1" applyFont="1" applyFill="1" applyBorder="1" applyAlignment="1">
      <alignment horizontal="center" vertical="center"/>
    </xf>
    <xf numFmtId="0" fontId="11" fillId="3" borderId="12" xfId="1" applyFont="1" applyFill="1" applyBorder="1" applyAlignment="1">
      <alignment horizontal="center" vertical="center" wrapText="1"/>
    </xf>
    <xf numFmtId="167" fontId="13" fillId="4" borderId="2" xfId="0" applyNumberFormat="1" applyFont="1" applyFill="1" applyBorder="1" applyAlignment="1">
      <alignment horizontal="center" vertical="center"/>
    </xf>
    <xf numFmtId="0" fontId="10" fillId="0" borderId="2" xfId="0" applyFont="1" applyBorder="1" applyProtection="1">
      <alignment vertical="center"/>
      <protection locked="0"/>
    </xf>
    <xf numFmtId="165" fontId="11" fillId="7" borderId="26" xfId="1" applyNumberFormat="1" applyFont="1" applyFill="1" applyBorder="1" applyAlignment="1" applyProtection="1">
      <alignment vertical="center"/>
      <protection locked="0"/>
    </xf>
    <xf numFmtId="2" fontId="10" fillId="0" borderId="18" xfId="0" applyNumberFormat="1" applyFont="1" applyBorder="1" applyProtection="1">
      <alignment vertical="center"/>
      <protection locked="0"/>
    </xf>
    <xf numFmtId="168" fontId="11" fillId="5" borderId="4" xfId="1" applyNumberFormat="1" applyFont="1" applyFill="1" applyBorder="1" applyAlignment="1">
      <alignment vertical="center"/>
    </xf>
    <xf numFmtId="168" fontId="11" fillId="5" borderId="8" xfId="1" applyNumberFormat="1" applyFont="1" applyFill="1" applyBorder="1" applyAlignment="1">
      <alignment vertical="center"/>
    </xf>
    <xf numFmtId="165" fontId="11" fillId="7" borderId="29" xfId="1" applyNumberFormat="1" applyFont="1" applyFill="1" applyBorder="1" applyAlignment="1" applyProtection="1">
      <alignment vertical="center"/>
      <protection locked="0"/>
    </xf>
    <xf numFmtId="168" fontId="10" fillId="7" borderId="4" xfId="1" applyNumberFormat="1" applyFont="1" applyFill="1" applyBorder="1" applyAlignment="1" applyProtection="1">
      <alignment vertical="center"/>
      <protection locked="0"/>
    </xf>
    <xf numFmtId="0" fontId="10" fillId="0" borderId="24" xfId="0" applyFont="1" applyBorder="1" applyAlignment="1">
      <alignment horizontal="center" vertical="center"/>
    </xf>
    <xf numFmtId="2" fontId="10" fillId="0" borderId="17" xfId="0" applyNumberFormat="1" applyFont="1" applyBorder="1" applyProtection="1">
      <alignment vertical="center"/>
      <protection locked="0"/>
    </xf>
    <xf numFmtId="168" fontId="16" fillId="5" borderId="20" xfId="1" applyNumberFormat="1" applyFont="1" applyFill="1" applyBorder="1" applyAlignment="1">
      <alignment vertical="center"/>
    </xf>
    <xf numFmtId="165" fontId="11" fillId="7" borderId="30" xfId="1" applyNumberFormat="1" applyFont="1" applyFill="1" applyBorder="1" applyAlignment="1" applyProtection="1">
      <alignment vertical="center"/>
      <protection locked="0"/>
    </xf>
    <xf numFmtId="0" fontId="10" fillId="0" borderId="26" xfId="0" applyFont="1" applyBorder="1" applyAlignment="1">
      <alignment horizontal="center" vertical="center"/>
    </xf>
    <xf numFmtId="0" fontId="11" fillId="5" borderId="31" xfId="1" applyFont="1" applyFill="1" applyBorder="1" applyAlignment="1" applyProtection="1">
      <alignment horizontal="center" vertical="center" wrapText="1"/>
      <protection locked="0"/>
    </xf>
    <xf numFmtId="0" fontId="15" fillId="0" borderId="3" xfId="1" applyFont="1" applyBorder="1" applyAlignment="1" applyProtection="1">
      <alignment horizontal="center" vertical="center"/>
      <protection locked="0"/>
    </xf>
    <xf numFmtId="168" fontId="16" fillId="5" borderId="3" xfId="1" applyNumberFormat="1" applyFont="1" applyFill="1" applyBorder="1" applyAlignment="1" applyProtection="1">
      <alignment vertical="center"/>
      <protection locked="0"/>
    </xf>
    <xf numFmtId="165" fontId="11" fillId="5" borderId="3" xfId="1" applyNumberFormat="1" applyFont="1" applyFill="1" applyBorder="1" applyAlignment="1" applyProtection="1">
      <alignment vertical="center"/>
      <protection locked="0"/>
    </xf>
    <xf numFmtId="165" fontId="11" fillId="5" borderId="2" xfId="1" applyNumberFormat="1" applyFont="1" applyFill="1" applyBorder="1" applyAlignment="1" applyProtection="1">
      <alignment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2" fontId="10" fillId="0" borderId="32" xfId="0" applyNumberFormat="1" applyFont="1" applyBorder="1" applyProtection="1">
      <alignment vertical="center"/>
      <protection locked="0"/>
    </xf>
    <xf numFmtId="2" fontId="10" fillId="0" borderId="0" xfId="0" applyNumberFormat="1" applyFont="1">
      <alignment vertical="center"/>
    </xf>
    <xf numFmtId="0" fontId="12" fillId="0" borderId="0" xfId="0" applyFont="1">
      <alignment vertical="center"/>
    </xf>
    <xf numFmtId="0" fontId="11" fillId="3" borderId="7" xfId="1" applyFont="1" applyFill="1" applyBorder="1" applyAlignment="1">
      <alignment horizontal="center" vertical="center" wrapText="1"/>
    </xf>
    <xf numFmtId="0" fontId="10" fillId="7" borderId="2" xfId="0" applyFont="1" applyFill="1" applyBorder="1" applyProtection="1">
      <alignment vertical="center"/>
      <protection locked="0"/>
    </xf>
    <xf numFmtId="0" fontId="10" fillId="0" borderId="10" xfId="0" applyFont="1" applyBorder="1">
      <alignment vertical="center"/>
    </xf>
    <xf numFmtId="0" fontId="12" fillId="7" borderId="28" xfId="0" applyFont="1" applyFill="1" applyBorder="1" applyProtection="1">
      <alignment vertical="center"/>
      <protection locked="0"/>
    </xf>
    <xf numFmtId="2" fontId="10" fillId="3" borderId="2" xfId="0" applyNumberFormat="1" applyFont="1" applyFill="1" applyBorder="1">
      <alignment vertical="center"/>
    </xf>
    <xf numFmtId="0" fontId="15" fillId="0" borderId="11" xfId="0" applyFont="1" applyBorder="1">
      <alignment vertical="center"/>
    </xf>
    <xf numFmtId="0" fontId="12" fillId="0" borderId="2" xfId="0" applyFont="1" applyBorder="1">
      <alignment vertical="center"/>
    </xf>
    <xf numFmtId="0" fontId="11" fillId="9" borderId="9" xfId="1" applyFont="1" applyFill="1" applyBorder="1" applyAlignment="1">
      <alignment horizontal="center" vertical="center" wrapText="1"/>
    </xf>
    <xf numFmtId="0" fontId="11" fillId="9" borderId="14" xfId="1" applyFont="1" applyFill="1" applyBorder="1" applyAlignment="1">
      <alignment horizontal="center" vertical="center" wrapText="1"/>
    </xf>
    <xf numFmtId="0" fontId="11" fillId="9" borderId="6" xfId="1" applyFont="1" applyFill="1" applyBorder="1" applyAlignment="1">
      <alignment horizontal="center" vertical="center" wrapText="1"/>
    </xf>
    <xf numFmtId="0" fontId="11" fillId="9" borderId="0" xfId="1" applyFont="1" applyFill="1" applyAlignment="1">
      <alignment horizontal="center" vertical="center" wrapText="1"/>
    </xf>
    <xf numFmtId="0" fontId="11" fillId="9" borderId="7" xfId="1" applyFont="1" applyFill="1" applyBorder="1" applyAlignment="1">
      <alignment horizontal="center" vertical="center" wrapText="1"/>
    </xf>
    <xf numFmtId="2" fontId="10" fillId="9" borderId="11" xfId="0" applyNumberFormat="1" applyFont="1" applyFill="1" applyBorder="1">
      <alignment vertical="center"/>
    </xf>
    <xf numFmtId="0" fontId="10" fillId="9" borderId="2" xfId="0" applyFont="1" applyFill="1" applyBorder="1" applyAlignment="1">
      <alignment horizontal="center" vertical="center"/>
    </xf>
    <xf numFmtId="2" fontId="10" fillId="9" borderId="2" xfId="0" applyNumberFormat="1" applyFont="1" applyFill="1" applyBorder="1">
      <alignment vertical="center"/>
    </xf>
    <xf numFmtId="0" fontId="18" fillId="10" borderId="0" xfId="1" applyFont="1" applyFill="1" applyAlignment="1" applyProtection="1">
      <alignment vertical="center" wrapText="1"/>
      <protection locked="0"/>
    </xf>
    <xf numFmtId="0" fontId="11" fillId="10" borderId="1" xfId="1" applyFont="1" applyFill="1" applyBorder="1" applyAlignment="1" applyProtection="1">
      <alignment vertical="center"/>
      <protection locked="0"/>
    </xf>
    <xf numFmtId="168" fontId="11" fillId="10" borderId="4" xfId="1" applyNumberFormat="1" applyFont="1" applyFill="1" applyBorder="1" applyAlignment="1" applyProtection="1">
      <alignment vertical="center"/>
      <protection locked="0"/>
    </xf>
    <xf numFmtId="165" fontId="11" fillId="10" borderId="15" xfId="1" applyNumberFormat="1" applyFont="1" applyFill="1" applyBorder="1" applyAlignment="1" applyProtection="1">
      <alignment vertical="center"/>
      <protection locked="0"/>
    </xf>
    <xf numFmtId="168" fontId="14" fillId="10" borderId="15" xfId="1" applyNumberFormat="1" applyFont="1" applyFill="1" applyBorder="1" applyAlignment="1" applyProtection="1">
      <alignment vertical="center"/>
      <protection locked="0"/>
    </xf>
    <xf numFmtId="169" fontId="14" fillId="10" borderId="15" xfId="1" applyNumberFormat="1" applyFont="1" applyFill="1" applyBorder="1" applyAlignment="1">
      <alignment vertical="center"/>
    </xf>
    <xf numFmtId="0" fontId="10" fillId="10" borderId="27" xfId="0" applyFont="1" applyFill="1" applyBorder="1" applyAlignment="1" applyProtection="1">
      <alignment horizontal="center" vertical="center"/>
      <protection locked="0"/>
    </xf>
    <xf numFmtId="2" fontId="10" fillId="10" borderId="19" xfId="0" applyNumberFormat="1" applyFont="1" applyFill="1" applyBorder="1" applyProtection="1">
      <alignment vertical="center"/>
      <protection locked="0"/>
    </xf>
    <xf numFmtId="168" fontId="11" fillId="10" borderId="15" xfId="1" applyNumberFormat="1" applyFont="1" applyFill="1" applyBorder="1" applyAlignment="1" applyProtection="1">
      <alignment vertical="center"/>
      <protection locked="0"/>
    </xf>
    <xf numFmtId="168" fontId="17" fillId="10" borderId="15" xfId="1" applyNumberFormat="1" applyFont="1" applyFill="1" applyBorder="1" applyAlignment="1" applyProtection="1">
      <alignment vertical="center"/>
      <protection locked="0"/>
    </xf>
    <xf numFmtId="169" fontId="17" fillId="10" borderId="15" xfId="1" applyNumberFormat="1" applyFont="1" applyFill="1" applyBorder="1" applyAlignment="1" applyProtection="1">
      <alignment vertical="center"/>
      <protection locked="0"/>
    </xf>
    <xf numFmtId="0" fontId="10" fillId="10" borderId="21" xfId="0" applyFont="1" applyFill="1" applyBorder="1" applyAlignment="1" applyProtection="1">
      <alignment horizontal="center" vertical="center"/>
      <protection locked="0"/>
    </xf>
    <xf numFmtId="2" fontId="10" fillId="10" borderId="22" xfId="0" applyNumberFormat="1" applyFont="1" applyFill="1" applyBorder="1" applyProtection="1">
      <alignment vertical="center"/>
      <protection locked="0"/>
    </xf>
    <xf numFmtId="168" fontId="17" fillId="0" borderId="2" xfId="1" applyNumberFormat="1" applyFont="1" applyBorder="1" applyAlignment="1" applyProtection="1">
      <alignment vertical="center"/>
      <protection locked="0"/>
    </xf>
    <xf numFmtId="169" fontId="17" fillId="0" borderId="2" xfId="1" applyNumberFormat="1" applyFont="1" applyBorder="1" applyAlignment="1" applyProtection="1">
      <alignment vertical="center"/>
      <protection locked="0"/>
    </xf>
    <xf numFmtId="165" fontId="11" fillId="9" borderId="2" xfId="1" applyNumberFormat="1" applyFont="1" applyFill="1" applyBorder="1" applyAlignment="1">
      <alignment vertical="center" shrinkToFit="1"/>
    </xf>
    <xf numFmtId="165" fontId="10" fillId="0" borderId="10" xfId="0" applyNumberFormat="1" applyFont="1" applyBorder="1">
      <alignment vertical="center"/>
    </xf>
    <xf numFmtId="169" fontId="13" fillId="11" borderId="4" xfId="1" applyNumberFormat="1" applyFont="1" applyFill="1" applyBorder="1" applyAlignment="1">
      <alignment vertical="center"/>
    </xf>
    <xf numFmtId="169" fontId="17" fillId="11" borderId="11" xfId="1" applyNumberFormat="1" applyFont="1" applyFill="1" applyBorder="1" applyAlignment="1">
      <alignment vertical="center"/>
    </xf>
    <xf numFmtId="168" fontId="17" fillId="11" borderId="11" xfId="1" applyNumberFormat="1" applyFont="1" applyFill="1" applyBorder="1" applyAlignment="1">
      <alignment vertical="center"/>
    </xf>
    <xf numFmtId="0" fontId="11" fillId="7" borderId="4" xfId="1" applyFont="1" applyFill="1" applyBorder="1" applyAlignment="1" applyProtection="1">
      <alignment horizontal="center" vertical="center"/>
      <protection locked="0"/>
    </xf>
    <xf numFmtId="0" fontId="15" fillId="0" borderId="11" xfId="1" applyFont="1" applyBorder="1" applyAlignment="1" applyProtection="1">
      <alignment horizontal="center" vertical="center"/>
      <protection locked="0"/>
    </xf>
    <xf numFmtId="0" fontId="10" fillId="0" borderId="28" xfId="0" applyFont="1" applyBorder="1" applyProtection="1">
      <alignment vertical="center"/>
      <protection locked="0"/>
    </xf>
    <xf numFmtId="0" fontId="15" fillId="0" borderId="11" xfId="0" applyFont="1" applyBorder="1" applyProtection="1">
      <alignment vertical="center"/>
      <protection locked="0"/>
    </xf>
    <xf numFmtId="2" fontId="10" fillId="8" borderId="2" xfId="0" applyNumberFormat="1" applyFont="1" applyFill="1" applyBorder="1">
      <alignment vertical="center"/>
    </xf>
    <xf numFmtId="165" fontId="11" fillId="9" borderId="6" xfId="1" applyNumberFormat="1" applyFont="1" applyFill="1" applyBorder="1" applyAlignment="1">
      <alignment horizontal="center" vertical="center" shrinkToFit="1"/>
    </xf>
    <xf numFmtId="165" fontId="11" fillId="3" borderId="13" xfId="1" applyNumberFormat="1" applyFont="1" applyFill="1" applyBorder="1" applyAlignment="1">
      <alignment horizontal="center" vertical="center" shrinkToFit="1"/>
    </xf>
    <xf numFmtId="0" fontId="10" fillId="12" borderId="2" xfId="0" applyFont="1" applyFill="1" applyBorder="1" applyAlignment="1">
      <alignment horizontal="center" vertical="center"/>
    </xf>
    <xf numFmtId="2" fontId="10" fillId="8" borderId="17" xfId="0" applyNumberFormat="1" applyFont="1" applyFill="1" applyBorder="1" applyProtection="1">
      <alignment vertical="center"/>
      <protection locked="0"/>
    </xf>
    <xf numFmtId="2" fontId="10" fillId="8" borderId="18" xfId="0" applyNumberFormat="1" applyFont="1" applyFill="1" applyBorder="1" applyProtection="1">
      <alignment vertical="center"/>
      <protection locked="0"/>
    </xf>
    <xf numFmtId="2" fontId="10" fillId="8" borderId="32" xfId="0" applyNumberFormat="1" applyFont="1" applyFill="1" applyBorder="1" applyProtection="1">
      <alignment vertical="center"/>
      <protection locked="0"/>
    </xf>
    <xf numFmtId="165" fontId="11" fillId="9" borderId="28" xfId="1" applyNumberFormat="1" applyFont="1" applyFill="1" applyBorder="1" applyAlignment="1">
      <alignment horizontal="center" vertical="center" shrinkToFit="1"/>
    </xf>
    <xf numFmtId="165" fontId="11" fillId="3" borderId="11" xfId="1" applyNumberFormat="1" applyFont="1" applyFill="1" applyBorder="1" applyAlignment="1">
      <alignment horizontal="center" vertical="center" shrinkToFit="1"/>
    </xf>
    <xf numFmtId="49" fontId="10" fillId="0" borderId="0" xfId="0" applyNumberFormat="1" applyFont="1" applyAlignment="1">
      <alignment horizontal="left" vertical="center"/>
    </xf>
    <xf numFmtId="49" fontId="11" fillId="5" borderId="2" xfId="1" applyNumberFormat="1" applyFont="1" applyFill="1" applyBorder="1" applyAlignment="1" applyProtection="1">
      <alignment horizontal="left" vertical="center"/>
      <protection locked="0"/>
    </xf>
    <xf numFmtId="14" fontId="10" fillId="0" borderId="0" xfId="0" applyNumberFormat="1" applyFont="1">
      <alignment vertical="center"/>
    </xf>
    <xf numFmtId="0" fontId="11" fillId="3" borderId="33" xfId="1" applyFont="1" applyFill="1" applyBorder="1" applyAlignment="1">
      <alignment horizontal="center" vertical="center" wrapText="1"/>
    </xf>
    <xf numFmtId="0" fontId="10" fillId="0" borderId="0" xfId="0" quotePrefix="1" applyFont="1">
      <alignment vertical="center"/>
    </xf>
    <xf numFmtId="0" fontId="10" fillId="9" borderId="28" xfId="0" applyFont="1" applyFill="1" applyBorder="1" applyProtection="1">
      <alignment vertical="center"/>
      <protection locked="0"/>
    </xf>
    <xf numFmtId="0" fontId="11" fillId="9" borderId="4" xfId="1" applyFont="1" applyFill="1" applyBorder="1" applyAlignment="1" applyProtection="1">
      <alignment horizontal="center" vertical="center"/>
      <protection locked="0"/>
    </xf>
    <xf numFmtId="168" fontId="11" fillId="9" borderId="8" xfId="1" applyNumberFormat="1" applyFont="1" applyFill="1" applyBorder="1" applyAlignment="1">
      <alignment vertical="center"/>
    </xf>
    <xf numFmtId="165" fontId="11" fillId="9" borderId="29" xfId="1" applyNumberFormat="1" applyFont="1" applyFill="1" applyBorder="1" applyAlignment="1" applyProtection="1">
      <alignment vertical="center"/>
      <protection locked="0"/>
    </xf>
    <xf numFmtId="165" fontId="11" fillId="9" borderId="24" xfId="1" applyNumberFormat="1" applyFont="1" applyFill="1" applyBorder="1" applyAlignment="1" applyProtection="1">
      <alignment vertical="center"/>
      <protection locked="0"/>
    </xf>
    <xf numFmtId="168" fontId="10" fillId="9" borderId="4" xfId="1" applyNumberFormat="1" applyFont="1" applyFill="1" applyBorder="1" applyAlignment="1" applyProtection="1">
      <alignment vertical="center"/>
      <protection locked="0"/>
    </xf>
    <xf numFmtId="169" fontId="13" fillId="9" borderId="4" xfId="1" applyNumberFormat="1" applyFont="1" applyFill="1" applyBorder="1" applyAlignment="1">
      <alignment vertical="center"/>
    </xf>
    <xf numFmtId="0" fontId="10" fillId="9" borderId="24" xfId="0" applyFont="1" applyFill="1" applyBorder="1" applyAlignment="1">
      <alignment horizontal="center" vertical="center"/>
    </xf>
    <xf numFmtId="2" fontId="10" fillId="9" borderId="17" xfId="0" applyNumberFormat="1" applyFont="1" applyFill="1" applyBorder="1" applyProtection="1">
      <alignment vertical="center"/>
      <protection locked="0"/>
    </xf>
    <xf numFmtId="0" fontId="15" fillId="9" borderId="11" xfId="0" applyFont="1" applyFill="1" applyBorder="1" applyProtection="1">
      <alignment vertical="center"/>
      <protection locked="0"/>
    </xf>
    <xf numFmtId="0" fontId="15" fillId="9" borderId="11" xfId="1" applyFont="1" applyFill="1" applyBorder="1" applyAlignment="1" applyProtection="1">
      <alignment horizontal="center" vertical="center"/>
      <protection locked="0"/>
    </xf>
    <xf numFmtId="168" fontId="16" fillId="9" borderId="20" xfId="1" applyNumberFormat="1" applyFont="1" applyFill="1" applyBorder="1" applyAlignment="1">
      <alignment vertical="center"/>
    </xf>
    <xf numFmtId="165" fontId="11" fillId="9" borderId="30" xfId="1" applyNumberFormat="1" applyFont="1" applyFill="1" applyBorder="1" applyAlignment="1" applyProtection="1">
      <alignment vertical="center"/>
      <protection locked="0"/>
    </xf>
    <xf numFmtId="165" fontId="11" fillId="9" borderId="26" xfId="1" applyNumberFormat="1" applyFont="1" applyFill="1" applyBorder="1" applyAlignment="1" applyProtection="1">
      <alignment vertical="center"/>
      <protection locked="0"/>
    </xf>
    <xf numFmtId="168" fontId="17" fillId="9" borderId="11" xfId="1" applyNumberFormat="1" applyFont="1" applyFill="1" applyBorder="1" applyAlignment="1">
      <alignment vertical="center"/>
    </xf>
    <xf numFmtId="169" fontId="17" fillId="9" borderId="11" xfId="1" applyNumberFormat="1" applyFont="1" applyFill="1" applyBorder="1" applyAlignment="1">
      <alignment vertical="center"/>
    </xf>
    <xf numFmtId="0" fontId="10" fillId="9" borderId="26" xfId="0" applyFont="1" applyFill="1" applyBorder="1" applyAlignment="1">
      <alignment horizontal="center" vertical="center"/>
    </xf>
    <xf numFmtId="2" fontId="10" fillId="9" borderId="18" xfId="0" applyNumberFormat="1" applyFont="1" applyFill="1" applyBorder="1" applyProtection="1">
      <alignment vertical="center"/>
      <protection locked="0"/>
    </xf>
    <xf numFmtId="2" fontId="10" fillId="13" borderId="2" xfId="0" applyNumberFormat="1" applyFont="1" applyFill="1" applyBorder="1">
      <alignment vertical="center"/>
    </xf>
    <xf numFmtId="2" fontId="10" fillId="14" borderId="2" xfId="0" applyNumberFormat="1" applyFont="1" applyFill="1" applyBorder="1">
      <alignment vertical="center"/>
    </xf>
    <xf numFmtId="0" fontId="10" fillId="3" borderId="28" xfId="0" applyFont="1" applyFill="1" applyBorder="1" applyProtection="1">
      <alignment vertical="center"/>
      <protection locked="0"/>
    </xf>
    <xf numFmtId="0" fontId="15" fillId="3" borderId="11" xfId="0" applyFont="1" applyFill="1" applyBorder="1" applyProtection="1">
      <alignment vertical="center"/>
      <protection locked="0"/>
    </xf>
    <xf numFmtId="2" fontId="10" fillId="14" borderId="17" xfId="0" applyNumberFormat="1" applyFont="1" applyFill="1" applyBorder="1" applyProtection="1">
      <alignment vertical="center"/>
      <protection locked="0"/>
    </xf>
    <xf numFmtId="2" fontId="10" fillId="14" borderId="18" xfId="0" applyNumberFormat="1" applyFont="1" applyFill="1" applyBorder="1" applyProtection="1">
      <alignment vertical="center"/>
      <protection locked="0"/>
    </xf>
    <xf numFmtId="0" fontId="11" fillId="9" borderId="5" xfId="1" applyFont="1" applyFill="1" applyBorder="1" applyAlignment="1">
      <alignment horizontal="center" vertical="center"/>
    </xf>
    <xf numFmtId="0" fontId="11" fillId="6" borderId="12" xfId="1" applyFont="1" applyFill="1" applyBorder="1" applyAlignment="1">
      <alignment horizontal="center" vertical="center"/>
    </xf>
    <xf numFmtId="1" fontId="11" fillId="5" borderId="8" xfId="1" applyNumberFormat="1" applyFont="1" applyFill="1" applyBorder="1" applyAlignment="1">
      <alignment vertical="center"/>
    </xf>
    <xf numFmtId="1" fontId="16" fillId="5" borderId="20" xfId="1" applyNumberFormat="1" applyFont="1" applyFill="1" applyBorder="1" applyAlignment="1">
      <alignment vertical="center"/>
    </xf>
    <xf numFmtId="2" fontId="11" fillId="5" borderId="8" xfId="1" applyNumberFormat="1" applyFont="1" applyFill="1" applyBorder="1" applyAlignment="1">
      <alignment vertical="center"/>
    </xf>
    <xf numFmtId="14" fontId="0" fillId="0" borderId="0" xfId="0" applyNumberFormat="1">
      <alignment vertical="center"/>
    </xf>
    <xf numFmtId="49" fontId="11" fillId="9" borderId="28" xfId="1" applyNumberFormat="1" applyFont="1" applyFill="1" applyBorder="1" applyAlignment="1" applyProtection="1">
      <alignment horizontal="left" vertical="center"/>
      <protection locked="0"/>
    </xf>
    <xf numFmtId="49" fontId="11" fillId="9" borderId="11" xfId="1" applyNumberFormat="1" applyFont="1" applyFill="1" applyBorder="1" applyAlignment="1" applyProtection="1">
      <alignment horizontal="left" vertical="center"/>
      <protection locked="0"/>
    </xf>
    <xf numFmtId="0" fontId="11" fillId="9" borderId="28" xfId="1" applyFont="1" applyFill="1" applyBorder="1" applyAlignment="1" applyProtection="1">
      <alignment horizontal="center" vertical="center" wrapText="1"/>
      <protection locked="0"/>
    </xf>
    <xf numFmtId="0" fontId="11" fillId="9" borderId="11" xfId="1" applyFont="1" applyFill="1" applyBorder="1" applyAlignment="1" applyProtection="1">
      <alignment horizontal="center" vertical="center" wrapText="1"/>
      <protection locked="0"/>
    </xf>
    <xf numFmtId="0" fontId="11" fillId="9" borderId="6" xfId="1" applyFont="1" applyFill="1" applyBorder="1" applyAlignment="1">
      <alignment horizontal="center" vertical="center" wrapText="1"/>
    </xf>
    <xf numFmtId="0" fontId="11" fillId="6" borderId="13" xfId="1" applyFont="1" applyFill="1" applyBorder="1" applyAlignment="1">
      <alignment horizontal="center" vertical="center" wrapText="1"/>
    </xf>
    <xf numFmtId="0" fontId="11" fillId="9" borderId="5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0" fontId="11" fillId="9" borderId="28" xfId="1" applyFont="1" applyFill="1" applyBorder="1" applyAlignment="1">
      <alignment horizontal="center" vertical="center"/>
    </xf>
    <xf numFmtId="0" fontId="11" fillId="6" borderId="11" xfId="1" applyFont="1" applyFill="1" applyBorder="1" applyAlignment="1">
      <alignment horizontal="center" vertical="center"/>
    </xf>
    <xf numFmtId="0" fontId="11" fillId="9" borderId="28" xfId="1" applyFont="1" applyFill="1" applyBorder="1" applyAlignment="1">
      <alignment horizontal="center" vertical="center" wrapText="1"/>
    </xf>
    <xf numFmtId="0" fontId="11" fillId="6" borderId="11" xfId="1" applyFont="1" applyFill="1" applyBorder="1" applyAlignment="1">
      <alignment horizontal="center" vertical="center" wrapText="1"/>
    </xf>
    <xf numFmtId="0" fontId="11" fillId="5" borderId="28" xfId="1" applyFont="1" applyFill="1" applyBorder="1" applyAlignment="1" applyProtection="1">
      <alignment horizontal="center" vertical="center" wrapText="1"/>
      <protection locked="0"/>
    </xf>
    <xf numFmtId="0" fontId="11" fillId="5" borderId="11" xfId="1" applyFont="1" applyFill="1" applyBorder="1" applyAlignment="1" applyProtection="1">
      <alignment horizontal="center" vertical="center" wrapText="1"/>
      <protection locked="0"/>
    </xf>
    <xf numFmtId="0" fontId="20" fillId="9" borderId="8" xfId="1" applyFont="1" applyFill="1" applyBorder="1" applyAlignment="1" applyProtection="1">
      <alignment horizontal="left" vertical="center" wrapText="1"/>
      <protection locked="0"/>
    </xf>
    <xf numFmtId="0" fontId="20" fillId="9" borderId="5" xfId="1" applyFont="1" applyFill="1" applyBorder="1" applyAlignment="1" applyProtection="1">
      <alignment horizontal="left" vertical="center" wrapText="1"/>
      <protection locked="0"/>
    </xf>
    <xf numFmtId="0" fontId="20" fillId="9" borderId="6" xfId="1" applyFont="1" applyFill="1" applyBorder="1" applyAlignment="1" applyProtection="1">
      <alignment horizontal="left" vertical="center" wrapText="1"/>
      <protection locked="0"/>
    </xf>
    <xf numFmtId="0" fontId="20" fillId="9" borderId="20" xfId="1" applyFont="1" applyFill="1" applyBorder="1" applyAlignment="1" applyProtection="1">
      <alignment horizontal="left" vertical="center" wrapText="1"/>
      <protection locked="0"/>
    </xf>
    <xf numFmtId="0" fontId="20" fillId="9" borderId="12" xfId="1" applyFont="1" applyFill="1" applyBorder="1" applyAlignment="1" applyProtection="1">
      <alignment horizontal="left" vertical="center" wrapText="1"/>
      <protection locked="0"/>
    </xf>
    <xf numFmtId="0" fontId="20" fillId="9" borderId="13" xfId="1" applyFont="1" applyFill="1" applyBorder="1" applyAlignment="1" applyProtection="1">
      <alignment horizontal="left" vertical="center" wrapText="1"/>
      <protection locked="0"/>
    </xf>
    <xf numFmtId="0" fontId="11" fillId="5" borderId="38" xfId="1" applyFont="1" applyFill="1" applyBorder="1" applyAlignment="1" applyProtection="1">
      <alignment horizontal="center" vertical="center" wrapText="1"/>
      <protection locked="0"/>
    </xf>
    <xf numFmtId="0" fontId="11" fillId="7" borderId="5" xfId="1" applyFont="1" applyFill="1" applyBorder="1" applyAlignment="1" applyProtection="1">
      <alignment horizontal="left" vertical="center" wrapText="1"/>
      <protection locked="0"/>
    </xf>
    <xf numFmtId="0" fontId="11" fillId="7" borderId="6" xfId="1" applyFont="1" applyFill="1" applyBorder="1" applyAlignment="1" applyProtection="1">
      <alignment horizontal="left" vertical="center" wrapText="1"/>
      <protection locked="0"/>
    </xf>
    <xf numFmtId="0" fontId="11" fillId="7" borderId="12" xfId="1" applyFont="1" applyFill="1" applyBorder="1" applyAlignment="1" applyProtection="1">
      <alignment horizontal="left" vertical="center" wrapText="1"/>
      <protection locked="0"/>
    </xf>
    <xf numFmtId="0" fontId="11" fillId="7" borderId="13" xfId="1" applyFont="1" applyFill="1" applyBorder="1" applyAlignment="1" applyProtection="1">
      <alignment horizontal="left" vertical="center" wrapText="1"/>
      <protection locked="0"/>
    </xf>
    <xf numFmtId="49" fontId="11" fillId="10" borderId="15" xfId="1" applyNumberFormat="1" applyFont="1" applyFill="1" applyBorder="1" applyAlignment="1" applyProtection="1">
      <alignment horizontal="left" vertical="center"/>
      <protection locked="0"/>
    </xf>
    <xf numFmtId="0" fontId="18" fillId="10" borderId="8" xfId="1" applyFont="1" applyFill="1" applyBorder="1" applyAlignment="1" applyProtection="1">
      <alignment vertical="center" wrapText="1"/>
      <protection locked="0"/>
    </xf>
    <xf numFmtId="0" fontId="18" fillId="10" borderId="5" xfId="1" applyFont="1" applyFill="1" applyBorder="1" applyAlignment="1" applyProtection="1">
      <alignment vertical="center" wrapText="1"/>
      <protection locked="0"/>
    </xf>
    <xf numFmtId="0" fontId="18" fillId="10" borderId="6" xfId="1" applyFont="1" applyFill="1" applyBorder="1" applyAlignment="1" applyProtection="1">
      <alignment vertical="center" wrapText="1"/>
      <protection locked="0"/>
    </xf>
    <xf numFmtId="0" fontId="18" fillId="10" borderId="1" xfId="1" applyFont="1" applyFill="1" applyBorder="1" applyAlignment="1" applyProtection="1">
      <alignment vertical="center" wrapText="1"/>
      <protection locked="0"/>
    </xf>
    <xf numFmtId="0" fontId="18" fillId="10" borderId="0" xfId="1" applyFont="1" applyFill="1" applyAlignment="1" applyProtection="1">
      <alignment vertical="center" wrapText="1"/>
      <protection locked="0"/>
    </xf>
    <xf numFmtId="0" fontId="18" fillId="10" borderId="16" xfId="1" applyFont="1" applyFill="1" applyBorder="1" applyAlignment="1" applyProtection="1">
      <alignment vertical="center" wrapText="1"/>
      <protection locked="0"/>
    </xf>
    <xf numFmtId="0" fontId="11" fillId="0" borderId="3" xfId="1" applyFont="1" applyBorder="1" applyAlignment="1" applyProtection="1">
      <alignment horizontal="center" vertical="center"/>
      <protection locked="0"/>
    </xf>
    <xf numFmtId="0" fontId="11" fillId="0" borderId="31" xfId="1" applyFont="1" applyBorder="1" applyAlignment="1" applyProtection="1">
      <alignment horizontal="center" vertical="center"/>
      <protection locked="0"/>
    </xf>
    <xf numFmtId="0" fontId="11" fillId="0" borderId="10" xfId="1" applyFont="1" applyBorder="1" applyAlignment="1" applyProtection="1">
      <alignment horizontal="center" vertical="center"/>
      <protection locked="0"/>
    </xf>
    <xf numFmtId="0" fontId="11" fillId="0" borderId="36" xfId="1" applyFont="1" applyBorder="1" applyAlignment="1" applyProtection="1">
      <alignment horizontal="center" vertical="center"/>
      <protection locked="0"/>
    </xf>
    <xf numFmtId="0" fontId="11" fillId="0" borderId="37" xfId="1" applyFont="1" applyBorder="1" applyAlignment="1" applyProtection="1">
      <alignment horizontal="center" vertical="center"/>
      <protection locked="0"/>
    </xf>
    <xf numFmtId="0" fontId="11" fillId="7" borderId="39" xfId="1" applyFont="1" applyFill="1" applyBorder="1" applyAlignment="1" applyProtection="1">
      <alignment horizontal="center" vertical="center" wrapText="1"/>
      <protection locked="0"/>
    </xf>
    <xf numFmtId="0" fontId="11" fillId="7" borderId="40" xfId="1" applyFont="1" applyFill="1" applyBorder="1" applyAlignment="1" applyProtection="1">
      <alignment horizontal="center" vertical="center" wrapText="1"/>
      <protection locked="0"/>
    </xf>
    <xf numFmtId="0" fontId="11" fillId="0" borderId="34" xfId="1" applyFont="1" applyBorder="1" applyAlignment="1" applyProtection="1">
      <alignment horizontal="center" vertical="center"/>
      <protection locked="0"/>
    </xf>
    <xf numFmtId="0" fontId="11" fillId="0" borderId="35" xfId="1" applyFont="1" applyBorder="1" applyAlignment="1" applyProtection="1">
      <alignment horizontal="center" vertical="center"/>
      <protection locked="0"/>
    </xf>
    <xf numFmtId="0" fontId="11" fillId="7" borderId="23" xfId="1" applyFont="1" applyFill="1" applyBorder="1" applyAlignment="1" applyProtection="1">
      <alignment horizontal="center" vertical="center" wrapText="1"/>
      <protection locked="0"/>
    </xf>
    <xf numFmtId="0" fontId="11" fillId="7" borderId="25" xfId="1" applyFont="1" applyFill="1" applyBorder="1" applyAlignment="1" applyProtection="1">
      <alignment horizontal="center" vertical="center" wrapText="1"/>
      <protection locked="0"/>
    </xf>
    <xf numFmtId="49" fontId="11" fillId="5" borderId="38" xfId="1" applyNumberFormat="1" applyFont="1" applyFill="1" applyBorder="1" applyAlignment="1" applyProtection="1">
      <alignment horizontal="left" vertical="center"/>
      <protection locked="0"/>
    </xf>
    <xf numFmtId="49" fontId="11" fillId="5" borderId="11" xfId="1" applyNumberFormat="1" applyFont="1" applyFill="1" applyBorder="1" applyAlignment="1" applyProtection="1">
      <alignment horizontal="left" vertical="center"/>
      <protection locked="0"/>
    </xf>
    <xf numFmtId="49" fontId="11" fillId="5" borderId="28" xfId="1" applyNumberFormat="1" applyFont="1" applyFill="1" applyBorder="1" applyAlignment="1" applyProtection="1">
      <alignment horizontal="left" vertical="center"/>
      <protection locked="0"/>
    </xf>
    <xf numFmtId="0" fontId="11" fillId="7" borderId="5" xfId="1" applyFont="1" applyFill="1" applyBorder="1" applyAlignment="1" applyProtection="1">
      <alignment horizontal="center" vertical="center" wrapText="1"/>
      <protection locked="0"/>
    </xf>
    <xf numFmtId="0" fontId="11" fillId="7" borderId="12" xfId="1" applyFont="1" applyFill="1" applyBorder="1" applyAlignment="1" applyProtection="1">
      <alignment horizontal="center" vertical="center" wrapText="1"/>
      <protection locked="0"/>
    </xf>
    <xf numFmtId="0" fontId="20" fillId="9" borderId="28" xfId="1" applyFont="1" applyFill="1" applyBorder="1" applyAlignment="1">
      <alignment horizontal="center" vertical="center" wrapText="1"/>
    </xf>
    <xf numFmtId="0" fontId="20" fillId="9" borderId="11" xfId="1" applyFont="1" applyFill="1" applyBorder="1" applyAlignment="1">
      <alignment horizontal="center" vertical="center" wrapText="1"/>
    </xf>
    <xf numFmtId="49" fontId="11" fillId="9" borderId="8" xfId="1" applyNumberFormat="1" applyFont="1" applyFill="1" applyBorder="1" applyAlignment="1">
      <alignment horizontal="center" vertical="center" wrapText="1"/>
    </xf>
    <xf numFmtId="49" fontId="11" fillId="2" borderId="20" xfId="1" applyNumberFormat="1" applyFont="1" applyFill="1" applyBorder="1" applyAlignment="1">
      <alignment horizontal="center" vertical="center" wrapText="1"/>
    </xf>
    <xf numFmtId="0" fontId="11" fillId="9" borderId="8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11" fillId="2" borderId="20" xfId="1" applyFont="1" applyFill="1" applyBorder="1" applyAlignment="1">
      <alignment horizontal="center" vertical="center" wrapText="1"/>
    </xf>
    <xf numFmtId="0" fontId="11" fillId="2" borderId="13" xfId="1" applyFont="1" applyFill="1" applyBorder="1" applyAlignment="1">
      <alignment horizontal="center" vertical="center" wrapText="1"/>
    </xf>
    <xf numFmtId="0" fontId="11" fillId="0" borderId="8" xfId="1" applyFont="1" applyBorder="1" applyAlignment="1" applyProtection="1">
      <alignment horizontal="left" vertical="center"/>
      <protection locked="0"/>
    </xf>
    <xf numFmtId="0" fontId="11" fillId="0" borderId="5" xfId="1" applyFont="1" applyBorder="1" applyAlignment="1" applyProtection="1">
      <alignment horizontal="left" vertical="center"/>
      <protection locked="0"/>
    </xf>
    <xf numFmtId="0" fontId="11" fillId="0" borderId="6" xfId="1" applyFont="1" applyBorder="1" applyAlignment="1" applyProtection="1">
      <alignment horizontal="left" vertical="center"/>
      <protection locked="0"/>
    </xf>
    <xf numFmtId="0" fontId="11" fillId="0" borderId="20" xfId="1" applyFont="1" applyBorder="1" applyAlignment="1" applyProtection="1">
      <alignment horizontal="left" vertical="center"/>
      <protection locked="0"/>
    </xf>
    <xf numFmtId="0" fontId="11" fillId="0" borderId="12" xfId="1" applyFont="1" applyBorder="1" applyAlignment="1" applyProtection="1">
      <alignment horizontal="left" vertical="center"/>
      <protection locked="0"/>
    </xf>
    <xf numFmtId="0" fontId="11" fillId="0" borderId="13" xfId="1" applyFont="1" applyBorder="1" applyAlignment="1" applyProtection="1">
      <alignment horizontal="left" vertical="center"/>
      <protection locked="0"/>
    </xf>
  </cellXfs>
  <cellStyles count="11">
    <cellStyle name="Comma [0] 2" xfId="9"/>
    <cellStyle name="Hyperlink 2" xfId="10"/>
    <cellStyle name="Normal" xfId="0" builtinId="0"/>
    <cellStyle name="Normal 2" xfId="8"/>
    <cellStyle name="桁区切り 2" xfId="3"/>
    <cellStyle name="標準 2" xfId="4"/>
    <cellStyle name="標準 2 2" xfId="5"/>
    <cellStyle name="標準 3" xfId="6"/>
    <cellStyle name="標準 5" xfId="7"/>
    <cellStyle name="標準_■WBS_EV進捗グラフ詳細設計（20130731）関根" xfId="2"/>
    <cellStyle name="標準_業共_1" xfId="1"/>
  </cellStyles>
  <dxfs count="462"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461"/>
      <tableStyleElement type="headerRow" dxfId="460"/>
    </tableStyle>
  </tableStyles>
  <colors>
    <mruColors>
      <color rgb="FFFFCCFF"/>
      <color rgb="FFFF99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B1:AY54"/>
  <sheetViews>
    <sheetView showGridLines="0" tabSelected="1" zoomScale="90" zoomScaleNormal="90" workbookViewId="0">
      <pane xSplit="21" ySplit="22" topLeftCell="V32" activePane="bottomRight" state="frozen"/>
      <selection activeCell="Z140" sqref="Z140"/>
      <selection pane="topRight" activeCell="Z140" sqref="Z140"/>
      <selection pane="bottomLeft" activeCell="Z140" sqref="Z140"/>
      <selection pane="bottomRight" activeCell="AF35" sqref="AF35"/>
    </sheetView>
  </sheetViews>
  <sheetFormatPr defaultColWidth="8.42578125" defaultRowHeight="14.25" outlineLevelRow="1"/>
  <cols>
    <col min="1" max="1" width="2.42578125" style="1" customWidth="1"/>
    <col min="2" max="2" width="8.42578125" style="1" customWidth="1"/>
    <col min="3" max="3" width="3.42578125" style="81" customWidth="1"/>
    <col min="4" max="4" width="7.42578125" style="1" customWidth="1"/>
    <col min="5" max="5" width="3.42578125" style="1" customWidth="1"/>
    <col min="6" max="9" width="7.5703125" style="1" customWidth="1"/>
    <col min="10" max="10" width="10.42578125" style="1" customWidth="1"/>
    <col min="11" max="11" width="7" style="1" customWidth="1"/>
    <col min="12" max="12" width="6.42578125" style="1" customWidth="1"/>
    <col min="13" max="16" width="7" style="1" customWidth="1"/>
    <col min="17" max="18" width="7.42578125" style="2" customWidth="1"/>
    <col min="19" max="19" width="7" style="1" bestFit="1" customWidth="1"/>
    <col min="20" max="20" width="8" style="1" customWidth="1"/>
    <col min="21" max="21" width="8.42578125" style="3" customWidth="1"/>
    <col min="22" max="23" width="5.42578125" style="1" customWidth="1"/>
    <col min="24" max="24" width="6.42578125" style="1" customWidth="1"/>
    <col min="25" max="54" width="5.42578125" style="1" customWidth="1"/>
    <col min="55" max="16384" width="8.42578125" style="1"/>
  </cols>
  <sheetData>
    <row r="1" spans="2:51" outlineLevel="1">
      <c r="Q1" s="32" t="s">
        <v>42</v>
      </c>
      <c r="R1" s="1"/>
      <c r="U1" s="4" t="s">
        <v>49</v>
      </c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</row>
    <row r="2" spans="2:51" outlineLevel="1">
      <c r="Q2" s="1"/>
      <c r="R2" s="44" t="s">
        <v>1</v>
      </c>
      <c r="S2" s="33" t="s">
        <v>2</v>
      </c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</row>
    <row r="3" spans="2:51" outlineLevel="1">
      <c r="B3" s="85"/>
      <c r="C3" s="1"/>
      <c r="Q3" s="1"/>
      <c r="R3" s="34">
        <v>5</v>
      </c>
      <c r="S3" s="35">
        <f>R3</f>
        <v>5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2:51" ht="11.1" customHeight="1" outlineLevel="1">
      <c r="B4" s="85"/>
      <c r="C4" s="1"/>
      <c r="G4" s="83"/>
      <c r="Q4" s="36" t="s">
        <v>30</v>
      </c>
      <c r="R4" s="45">
        <f>SUMPRODUCT(($W$20:$AY$20=R$3)*($U4:$U5=R$2)*($W4:$AY4))</f>
        <v>0</v>
      </c>
      <c r="S4" s="37">
        <f>SUMPRODUCT(($W$20:$AY$20=S$3)*($U4:$U5=S$2)*($W4:$AY5))</f>
        <v>0</v>
      </c>
      <c r="U4" s="46" t="s">
        <v>6</v>
      </c>
      <c r="V4" s="104">
        <f t="shared" ref="V4:AE9" si="0">SUMPRODUCT(($K$23:$K$53=$Q4)*($U$23:$U$53=$U4)*(V$23:V$53))</f>
        <v>8</v>
      </c>
      <c r="W4" s="104">
        <f t="shared" si="0"/>
        <v>2</v>
      </c>
      <c r="X4" s="104">
        <f t="shared" si="0"/>
        <v>2</v>
      </c>
      <c r="Y4" s="105">
        <f t="shared" si="0"/>
        <v>0</v>
      </c>
      <c r="Z4" s="104">
        <f t="shared" si="0"/>
        <v>0</v>
      </c>
      <c r="AA4" s="104">
        <f t="shared" si="0"/>
        <v>0</v>
      </c>
      <c r="AB4" s="104">
        <f t="shared" si="0"/>
        <v>0</v>
      </c>
      <c r="AC4" s="104">
        <f t="shared" si="0"/>
        <v>0</v>
      </c>
      <c r="AD4" s="104">
        <f t="shared" si="0"/>
        <v>0</v>
      </c>
      <c r="AE4" s="104">
        <f t="shared" si="0"/>
        <v>0</v>
      </c>
      <c r="AF4" s="104">
        <f t="shared" ref="AF4:AO9" si="1">SUMPRODUCT(($K$23:$K$53=$Q4)*($U$23:$U$53=$U4)*(AF$23:AF$53))</f>
        <v>0</v>
      </c>
      <c r="AG4" s="104">
        <f t="shared" si="1"/>
        <v>0</v>
      </c>
      <c r="AH4" s="104">
        <f t="shared" si="1"/>
        <v>0</v>
      </c>
      <c r="AI4" s="104">
        <f t="shared" si="1"/>
        <v>0</v>
      </c>
      <c r="AJ4" s="104">
        <f t="shared" si="1"/>
        <v>0</v>
      </c>
      <c r="AK4" s="104">
        <f t="shared" si="1"/>
        <v>0</v>
      </c>
      <c r="AL4" s="104">
        <f t="shared" si="1"/>
        <v>0</v>
      </c>
      <c r="AM4" s="104">
        <f t="shared" si="1"/>
        <v>0</v>
      </c>
      <c r="AN4" s="104">
        <f t="shared" si="1"/>
        <v>0</v>
      </c>
      <c r="AO4" s="104">
        <f t="shared" si="1"/>
        <v>0</v>
      </c>
      <c r="AP4" s="104">
        <f t="shared" ref="AP4:AY9" si="2">SUMPRODUCT(($K$23:$K$53=$Q4)*($U$23:$U$53=$U4)*(AP$23:AP$53))</f>
        <v>0</v>
      </c>
      <c r="AQ4" s="104">
        <f t="shared" si="2"/>
        <v>0</v>
      </c>
      <c r="AR4" s="104">
        <f t="shared" si="2"/>
        <v>0</v>
      </c>
      <c r="AS4" s="104">
        <f t="shared" si="2"/>
        <v>0</v>
      </c>
      <c r="AT4" s="104">
        <f t="shared" si="2"/>
        <v>0</v>
      </c>
      <c r="AU4" s="104">
        <f t="shared" si="2"/>
        <v>0</v>
      </c>
      <c r="AV4" s="104">
        <f t="shared" si="2"/>
        <v>0</v>
      </c>
      <c r="AW4" s="104">
        <f t="shared" si="2"/>
        <v>0</v>
      </c>
      <c r="AX4" s="104">
        <f t="shared" si="2"/>
        <v>0</v>
      </c>
      <c r="AY4" s="104">
        <f t="shared" si="2"/>
        <v>0</v>
      </c>
    </row>
    <row r="5" spans="2:51" ht="11.1" customHeight="1" outlineLevel="1">
      <c r="B5" s="85"/>
      <c r="C5" s="1"/>
      <c r="F5" s="83"/>
      <c r="G5" s="83"/>
      <c r="Q5" s="38" t="str">
        <f>Q4</f>
        <v>Person1</v>
      </c>
      <c r="R5" s="45"/>
      <c r="S5" s="45"/>
      <c r="U5" s="75" t="s">
        <v>7</v>
      </c>
      <c r="V5" s="72">
        <f t="shared" si="0"/>
        <v>8</v>
      </c>
      <c r="W5" s="72">
        <f t="shared" si="0"/>
        <v>2</v>
      </c>
      <c r="X5" s="72">
        <f t="shared" si="0"/>
        <v>2</v>
      </c>
      <c r="Y5" s="105">
        <f t="shared" si="0"/>
        <v>0</v>
      </c>
      <c r="Z5" s="72">
        <f t="shared" si="0"/>
        <v>0</v>
      </c>
      <c r="AA5" s="72">
        <f t="shared" si="0"/>
        <v>0</v>
      </c>
      <c r="AB5" s="72">
        <f t="shared" si="0"/>
        <v>0</v>
      </c>
      <c r="AC5" s="72">
        <f t="shared" si="0"/>
        <v>0</v>
      </c>
      <c r="AD5" s="72">
        <f t="shared" si="0"/>
        <v>0</v>
      </c>
      <c r="AE5" s="72">
        <f t="shared" si="0"/>
        <v>0</v>
      </c>
      <c r="AF5" s="72">
        <f t="shared" si="1"/>
        <v>0</v>
      </c>
      <c r="AG5" s="72">
        <f t="shared" si="1"/>
        <v>0</v>
      </c>
      <c r="AH5" s="72">
        <f t="shared" si="1"/>
        <v>0</v>
      </c>
      <c r="AI5" s="72">
        <f t="shared" si="1"/>
        <v>0</v>
      </c>
      <c r="AJ5" s="72">
        <f t="shared" si="1"/>
        <v>0</v>
      </c>
      <c r="AK5" s="72">
        <f t="shared" si="1"/>
        <v>0</v>
      </c>
      <c r="AL5" s="72">
        <f t="shared" si="1"/>
        <v>0</v>
      </c>
      <c r="AM5" s="72">
        <f t="shared" si="1"/>
        <v>0</v>
      </c>
      <c r="AN5" s="72">
        <f t="shared" si="1"/>
        <v>0</v>
      </c>
      <c r="AO5" s="72">
        <f t="shared" si="1"/>
        <v>0</v>
      </c>
      <c r="AP5" s="72">
        <f t="shared" si="2"/>
        <v>0</v>
      </c>
      <c r="AQ5" s="72">
        <f t="shared" si="2"/>
        <v>0</v>
      </c>
      <c r="AR5" s="72">
        <f t="shared" si="2"/>
        <v>0</v>
      </c>
      <c r="AS5" s="72">
        <f t="shared" si="2"/>
        <v>0</v>
      </c>
      <c r="AT5" s="72">
        <f t="shared" si="2"/>
        <v>0</v>
      </c>
      <c r="AU5" s="72">
        <f t="shared" si="2"/>
        <v>0</v>
      </c>
      <c r="AV5" s="72">
        <f t="shared" si="2"/>
        <v>0</v>
      </c>
      <c r="AW5" s="72">
        <f t="shared" si="2"/>
        <v>0</v>
      </c>
      <c r="AX5" s="72">
        <f t="shared" si="2"/>
        <v>0</v>
      </c>
      <c r="AY5" s="72">
        <f t="shared" si="2"/>
        <v>0</v>
      </c>
    </row>
    <row r="6" spans="2:51" ht="11.1" customHeight="1" outlineLevel="1">
      <c r="B6" s="85"/>
      <c r="C6" s="1"/>
      <c r="G6" s="83"/>
      <c r="Q6" s="36" t="s">
        <v>31</v>
      </c>
      <c r="R6" s="45">
        <f>SUMPRODUCT(($W$20:$AY$20=R$3)*($U6:$U7=R$2)*($W6:$AY6))</f>
        <v>0</v>
      </c>
      <c r="S6" s="37">
        <f>SUMPRODUCT(($W$20:$AY$20=S$3)*($U6:$U7=S$2)*($W6:$AY7))</f>
        <v>0</v>
      </c>
      <c r="U6" s="46" t="s">
        <v>6</v>
      </c>
      <c r="V6" s="104">
        <f t="shared" si="0"/>
        <v>8</v>
      </c>
      <c r="W6" s="104">
        <f t="shared" si="0"/>
        <v>6</v>
      </c>
      <c r="X6" s="104">
        <f t="shared" si="0"/>
        <v>0</v>
      </c>
      <c r="Y6" s="105">
        <f t="shared" si="0"/>
        <v>0</v>
      </c>
      <c r="Z6" s="104">
        <f t="shared" si="0"/>
        <v>0</v>
      </c>
      <c r="AA6" s="104">
        <f t="shared" si="0"/>
        <v>0</v>
      </c>
      <c r="AB6" s="104">
        <f t="shared" si="0"/>
        <v>0</v>
      </c>
      <c r="AC6" s="104">
        <f t="shared" si="0"/>
        <v>0</v>
      </c>
      <c r="AD6" s="104">
        <f t="shared" si="0"/>
        <v>0</v>
      </c>
      <c r="AE6" s="104">
        <f t="shared" si="0"/>
        <v>0</v>
      </c>
      <c r="AF6" s="104">
        <f t="shared" si="1"/>
        <v>0</v>
      </c>
      <c r="AG6" s="104">
        <f t="shared" si="1"/>
        <v>0</v>
      </c>
      <c r="AH6" s="104">
        <f t="shared" si="1"/>
        <v>0</v>
      </c>
      <c r="AI6" s="104">
        <f t="shared" si="1"/>
        <v>0</v>
      </c>
      <c r="AJ6" s="104">
        <f t="shared" si="1"/>
        <v>0</v>
      </c>
      <c r="AK6" s="104">
        <f t="shared" si="1"/>
        <v>0</v>
      </c>
      <c r="AL6" s="104">
        <f t="shared" si="1"/>
        <v>0</v>
      </c>
      <c r="AM6" s="104">
        <f t="shared" si="1"/>
        <v>0</v>
      </c>
      <c r="AN6" s="104">
        <f t="shared" si="1"/>
        <v>0</v>
      </c>
      <c r="AO6" s="104">
        <f t="shared" si="1"/>
        <v>0</v>
      </c>
      <c r="AP6" s="104">
        <f t="shared" si="2"/>
        <v>0</v>
      </c>
      <c r="AQ6" s="104">
        <f t="shared" si="2"/>
        <v>0</v>
      </c>
      <c r="AR6" s="104">
        <f t="shared" si="2"/>
        <v>0</v>
      </c>
      <c r="AS6" s="104">
        <f t="shared" si="2"/>
        <v>0</v>
      </c>
      <c r="AT6" s="104">
        <f t="shared" si="2"/>
        <v>0</v>
      </c>
      <c r="AU6" s="104">
        <f t="shared" si="2"/>
        <v>0</v>
      </c>
      <c r="AV6" s="104">
        <f t="shared" si="2"/>
        <v>0</v>
      </c>
      <c r="AW6" s="104">
        <f t="shared" si="2"/>
        <v>0</v>
      </c>
      <c r="AX6" s="104">
        <f t="shared" si="2"/>
        <v>0</v>
      </c>
      <c r="AY6" s="104">
        <f t="shared" si="2"/>
        <v>0</v>
      </c>
    </row>
    <row r="7" spans="2:51" ht="11.1" customHeight="1" outlineLevel="1">
      <c r="B7" s="85"/>
      <c r="C7" s="1"/>
      <c r="F7" s="83"/>
      <c r="G7" s="83"/>
      <c r="Q7" s="38" t="str">
        <f>Q6</f>
        <v>Person2</v>
      </c>
      <c r="R7" s="45"/>
      <c r="S7" s="37"/>
      <c r="U7" s="75" t="s">
        <v>7</v>
      </c>
      <c r="V7" s="72">
        <f t="shared" si="0"/>
        <v>8</v>
      </c>
      <c r="W7" s="72">
        <f t="shared" si="0"/>
        <v>6</v>
      </c>
      <c r="X7" s="72">
        <f t="shared" si="0"/>
        <v>0</v>
      </c>
      <c r="Y7" s="105">
        <f t="shared" si="0"/>
        <v>0</v>
      </c>
      <c r="Z7" s="72">
        <f t="shared" si="0"/>
        <v>0</v>
      </c>
      <c r="AA7" s="72">
        <f t="shared" si="0"/>
        <v>0</v>
      </c>
      <c r="AB7" s="72">
        <f t="shared" si="0"/>
        <v>0</v>
      </c>
      <c r="AC7" s="72">
        <f t="shared" si="0"/>
        <v>0</v>
      </c>
      <c r="AD7" s="72">
        <f t="shared" si="0"/>
        <v>0</v>
      </c>
      <c r="AE7" s="72">
        <f t="shared" si="0"/>
        <v>0</v>
      </c>
      <c r="AF7" s="72">
        <f t="shared" si="1"/>
        <v>0</v>
      </c>
      <c r="AG7" s="72">
        <f t="shared" si="1"/>
        <v>0</v>
      </c>
      <c r="AH7" s="72">
        <f t="shared" si="1"/>
        <v>0</v>
      </c>
      <c r="AI7" s="72">
        <f t="shared" si="1"/>
        <v>0</v>
      </c>
      <c r="AJ7" s="72">
        <f t="shared" si="1"/>
        <v>0</v>
      </c>
      <c r="AK7" s="72">
        <f t="shared" si="1"/>
        <v>0</v>
      </c>
      <c r="AL7" s="72">
        <f t="shared" si="1"/>
        <v>0</v>
      </c>
      <c r="AM7" s="72">
        <f t="shared" si="1"/>
        <v>0</v>
      </c>
      <c r="AN7" s="72">
        <f t="shared" si="1"/>
        <v>0</v>
      </c>
      <c r="AO7" s="72">
        <f t="shared" si="1"/>
        <v>0</v>
      </c>
      <c r="AP7" s="72">
        <f t="shared" si="2"/>
        <v>0</v>
      </c>
      <c r="AQ7" s="72">
        <f t="shared" si="2"/>
        <v>0</v>
      </c>
      <c r="AR7" s="72">
        <f t="shared" si="2"/>
        <v>0</v>
      </c>
      <c r="AS7" s="72">
        <f t="shared" si="2"/>
        <v>0</v>
      </c>
      <c r="AT7" s="72">
        <f t="shared" si="2"/>
        <v>0</v>
      </c>
      <c r="AU7" s="72">
        <f t="shared" si="2"/>
        <v>0</v>
      </c>
      <c r="AV7" s="72">
        <f t="shared" si="2"/>
        <v>0</v>
      </c>
      <c r="AW7" s="72">
        <f t="shared" si="2"/>
        <v>0</v>
      </c>
      <c r="AX7" s="72">
        <f t="shared" si="2"/>
        <v>0</v>
      </c>
      <c r="AY7" s="72">
        <f t="shared" si="2"/>
        <v>0</v>
      </c>
    </row>
    <row r="8" spans="2:51" ht="11.1" customHeight="1" outlineLevel="1">
      <c r="B8" s="85"/>
      <c r="C8" s="1"/>
      <c r="G8" s="83"/>
      <c r="Q8" s="36" t="s">
        <v>32</v>
      </c>
      <c r="R8" s="45">
        <f>SUMPRODUCT(($W$20:$AY$20=R$3)*($U8:$U9=R$2)*($W8:$AY8))</f>
        <v>0</v>
      </c>
      <c r="S8" s="37">
        <f>SUMPRODUCT(($W$20:$AY$20=S$3)*($U8:$U9=S$2)*($W8:$AY9))</f>
        <v>0</v>
      </c>
      <c r="U8" s="46" t="s">
        <v>6</v>
      </c>
      <c r="V8" s="104">
        <f t="shared" si="0"/>
        <v>0</v>
      </c>
      <c r="W8" s="104">
        <f t="shared" si="0"/>
        <v>0</v>
      </c>
      <c r="X8" s="104">
        <f t="shared" si="0"/>
        <v>0</v>
      </c>
      <c r="Y8" s="105">
        <f t="shared" si="0"/>
        <v>0</v>
      </c>
      <c r="Z8" s="104">
        <f t="shared" si="0"/>
        <v>0</v>
      </c>
      <c r="AA8" s="104">
        <f t="shared" si="0"/>
        <v>8</v>
      </c>
      <c r="AB8" s="104">
        <f t="shared" si="0"/>
        <v>6</v>
      </c>
      <c r="AC8" s="104">
        <f t="shared" si="0"/>
        <v>0</v>
      </c>
      <c r="AD8" s="104">
        <f t="shared" si="0"/>
        <v>0</v>
      </c>
      <c r="AE8" s="104">
        <f t="shared" si="0"/>
        <v>0</v>
      </c>
      <c r="AF8" s="104">
        <f t="shared" si="1"/>
        <v>0</v>
      </c>
      <c r="AG8" s="104">
        <f t="shared" si="1"/>
        <v>0</v>
      </c>
      <c r="AH8" s="104">
        <f t="shared" si="1"/>
        <v>0</v>
      </c>
      <c r="AI8" s="104">
        <f t="shared" si="1"/>
        <v>0</v>
      </c>
      <c r="AJ8" s="104">
        <f t="shared" si="1"/>
        <v>0</v>
      </c>
      <c r="AK8" s="104">
        <f t="shared" si="1"/>
        <v>0</v>
      </c>
      <c r="AL8" s="104">
        <f t="shared" si="1"/>
        <v>0</v>
      </c>
      <c r="AM8" s="104">
        <f t="shared" si="1"/>
        <v>0</v>
      </c>
      <c r="AN8" s="104">
        <f t="shared" si="1"/>
        <v>0</v>
      </c>
      <c r="AO8" s="104">
        <f t="shared" si="1"/>
        <v>0</v>
      </c>
      <c r="AP8" s="104">
        <f t="shared" si="2"/>
        <v>0</v>
      </c>
      <c r="AQ8" s="104">
        <f t="shared" si="2"/>
        <v>0</v>
      </c>
      <c r="AR8" s="104">
        <f t="shared" si="2"/>
        <v>0</v>
      </c>
      <c r="AS8" s="104">
        <f t="shared" si="2"/>
        <v>0</v>
      </c>
      <c r="AT8" s="104">
        <f t="shared" si="2"/>
        <v>0</v>
      </c>
      <c r="AU8" s="104">
        <f t="shared" si="2"/>
        <v>0</v>
      </c>
      <c r="AV8" s="104">
        <f t="shared" si="2"/>
        <v>0</v>
      </c>
      <c r="AW8" s="104">
        <f t="shared" si="2"/>
        <v>0</v>
      </c>
      <c r="AX8" s="104">
        <f t="shared" si="2"/>
        <v>0</v>
      </c>
      <c r="AY8" s="104">
        <f t="shared" si="2"/>
        <v>0</v>
      </c>
    </row>
    <row r="9" spans="2:51" ht="10.35" customHeight="1" outlineLevel="1">
      <c r="B9" s="85"/>
      <c r="C9" s="1"/>
      <c r="F9" s="83"/>
      <c r="G9" s="83"/>
      <c r="Q9" s="38" t="str">
        <f>Q8</f>
        <v>Person3</v>
      </c>
      <c r="R9" s="45"/>
      <c r="S9" s="37"/>
      <c r="U9" s="75" t="s">
        <v>7</v>
      </c>
      <c r="V9" s="72">
        <f t="shared" si="0"/>
        <v>0</v>
      </c>
      <c r="W9" s="72">
        <f t="shared" si="0"/>
        <v>0</v>
      </c>
      <c r="X9" s="72">
        <f t="shared" si="0"/>
        <v>0</v>
      </c>
      <c r="Y9" s="105">
        <f t="shared" si="0"/>
        <v>0</v>
      </c>
      <c r="Z9" s="72">
        <f t="shared" si="0"/>
        <v>0</v>
      </c>
      <c r="AA9" s="72">
        <f t="shared" si="0"/>
        <v>0</v>
      </c>
      <c r="AB9" s="72">
        <f t="shared" si="0"/>
        <v>0</v>
      </c>
      <c r="AC9" s="72">
        <f t="shared" si="0"/>
        <v>0</v>
      </c>
      <c r="AD9" s="72">
        <f t="shared" si="0"/>
        <v>0</v>
      </c>
      <c r="AE9" s="72">
        <f t="shared" si="0"/>
        <v>0</v>
      </c>
      <c r="AF9" s="72">
        <f t="shared" si="1"/>
        <v>0</v>
      </c>
      <c r="AG9" s="72">
        <f t="shared" si="1"/>
        <v>0</v>
      </c>
      <c r="AH9" s="72">
        <f t="shared" si="1"/>
        <v>0</v>
      </c>
      <c r="AI9" s="72">
        <f t="shared" si="1"/>
        <v>0</v>
      </c>
      <c r="AJ9" s="72">
        <f t="shared" si="1"/>
        <v>0</v>
      </c>
      <c r="AK9" s="72">
        <f t="shared" si="1"/>
        <v>0</v>
      </c>
      <c r="AL9" s="72">
        <f t="shared" si="1"/>
        <v>0</v>
      </c>
      <c r="AM9" s="72">
        <f t="shared" si="1"/>
        <v>0</v>
      </c>
      <c r="AN9" s="72">
        <f t="shared" si="1"/>
        <v>0</v>
      </c>
      <c r="AO9" s="72">
        <f t="shared" si="1"/>
        <v>0</v>
      </c>
      <c r="AP9" s="72">
        <f t="shared" si="2"/>
        <v>0</v>
      </c>
      <c r="AQ9" s="72">
        <f t="shared" si="2"/>
        <v>0</v>
      </c>
      <c r="AR9" s="72">
        <f t="shared" si="2"/>
        <v>0</v>
      </c>
      <c r="AS9" s="72">
        <f t="shared" si="2"/>
        <v>0</v>
      </c>
      <c r="AT9" s="72">
        <f t="shared" si="2"/>
        <v>0</v>
      </c>
      <c r="AU9" s="72">
        <f t="shared" si="2"/>
        <v>0</v>
      </c>
      <c r="AV9" s="72">
        <f t="shared" si="2"/>
        <v>0</v>
      </c>
      <c r="AW9" s="72">
        <f t="shared" si="2"/>
        <v>0</v>
      </c>
      <c r="AX9" s="72">
        <f t="shared" si="2"/>
        <v>0</v>
      </c>
      <c r="AY9" s="72">
        <f t="shared" si="2"/>
        <v>0</v>
      </c>
    </row>
    <row r="10" spans="2:51" ht="12.6" customHeight="1" outlineLevel="1">
      <c r="B10" s="85"/>
      <c r="C10" s="1"/>
      <c r="Q10" s="36" t="s">
        <v>33</v>
      </c>
      <c r="R10" s="45">
        <f>SUMPRODUCT(($W$20:$AY$20=R$3)*($U10:$U11=R$2)*($W10:$AY10))</f>
        <v>0</v>
      </c>
      <c r="S10" s="37">
        <f>SUMPRODUCT(($W$20:$AY$20=S$3)*($U10:$U11=S$2)*($W10:$AY11))</f>
        <v>0</v>
      </c>
      <c r="U10" s="46" t="s">
        <v>6</v>
      </c>
      <c r="V10" s="104">
        <f t="shared" ref="V10:AE15" si="3">SUMPRODUCT(($K$25:$K$53=$Q10)*($U$25:$U$53=$U10)*(V$25:V$53))</f>
        <v>0</v>
      </c>
      <c r="W10" s="104">
        <f t="shared" si="3"/>
        <v>0</v>
      </c>
      <c r="X10" s="104">
        <f t="shared" si="3"/>
        <v>0</v>
      </c>
      <c r="Y10" s="105">
        <f t="shared" si="3"/>
        <v>0</v>
      </c>
      <c r="Z10" s="104">
        <f t="shared" si="3"/>
        <v>0</v>
      </c>
      <c r="AA10" s="104">
        <f t="shared" si="3"/>
        <v>0</v>
      </c>
      <c r="AB10" s="104">
        <f t="shared" si="3"/>
        <v>2</v>
      </c>
      <c r="AC10" s="104">
        <f t="shared" si="3"/>
        <v>2</v>
      </c>
      <c r="AD10" s="104">
        <f t="shared" si="3"/>
        <v>0</v>
      </c>
      <c r="AE10" s="104">
        <f t="shared" si="3"/>
        <v>0</v>
      </c>
      <c r="AF10" s="104">
        <f t="shared" ref="AF10:AO15" si="4">SUMPRODUCT(($K$25:$K$53=$Q10)*($U$25:$U$53=$U10)*(AF$25:AF$53))</f>
        <v>0</v>
      </c>
      <c r="AG10" s="104">
        <f t="shared" si="4"/>
        <v>0</v>
      </c>
      <c r="AH10" s="104">
        <f t="shared" si="4"/>
        <v>0</v>
      </c>
      <c r="AI10" s="104">
        <f t="shared" si="4"/>
        <v>0</v>
      </c>
      <c r="AJ10" s="104">
        <f t="shared" si="4"/>
        <v>0</v>
      </c>
      <c r="AK10" s="104">
        <f t="shared" si="4"/>
        <v>0</v>
      </c>
      <c r="AL10" s="104">
        <f t="shared" si="4"/>
        <v>0</v>
      </c>
      <c r="AM10" s="104">
        <f t="shared" si="4"/>
        <v>0</v>
      </c>
      <c r="AN10" s="104">
        <f t="shared" si="4"/>
        <v>0</v>
      </c>
      <c r="AO10" s="104">
        <f t="shared" si="4"/>
        <v>0</v>
      </c>
      <c r="AP10" s="104">
        <f t="shared" ref="AP10:AY15" si="5">SUMPRODUCT(($K$25:$K$53=$Q10)*($U$25:$U$53=$U10)*(AP$25:AP$53))</f>
        <v>0</v>
      </c>
      <c r="AQ10" s="104">
        <f t="shared" si="5"/>
        <v>0</v>
      </c>
      <c r="AR10" s="104">
        <f t="shared" si="5"/>
        <v>0</v>
      </c>
      <c r="AS10" s="104">
        <f t="shared" si="5"/>
        <v>0</v>
      </c>
      <c r="AT10" s="104">
        <f t="shared" si="5"/>
        <v>0</v>
      </c>
      <c r="AU10" s="104">
        <f t="shared" si="5"/>
        <v>0</v>
      </c>
      <c r="AV10" s="104">
        <f t="shared" si="5"/>
        <v>0</v>
      </c>
      <c r="AW10" s="104">
        <f t="shared" si="5"/>
        <v>0</v>
      </c>
      <c r="AX10" s="104">
        <f t="shared" si="5"/>
        <v>0</v>
      </c>
      <c r="AY10" s="104">
        <f t="shared" si="5"/>
        <v>0</v>
      </c>
    </row>
    <row r="11" spans="2:51" ht="11.85" customHeight="1" outlineLevel="1">
      <c r="C11" s="1"/>
      <c r="Q11" s="38" t="str">
        <f>Q10</f>
        <v>Person4</v>
      </c>
      <c r="R11" s="45"/>
      <c r="S11" s="37"/>
      <c r="U11" s="75" t="s">
        <v>7</v>
      </c>
      <c r="V11" s="72">
        <f t="shared" si="3"/>
        <v>0</v>
      </c>
      <c r="W11" s="72">
        <f t="shared" si="3"/>
        <v>0</v>
      </c>
      <c r="X11" s="72">
        <f t="shared" si="3"/>
        <v>0</v>
      </c>
      <c r="Y11" s="105">
        <f t="shared" si="3"/>
        <v>0</v>
      </c>
      <c r="Z11" s="72">
        <f t="shared" si="3"/>
        <v>0</v>
      </c>
      <c r="AA11" s="72">
        <f t="shared" si="3"/>
        <v>0</v>
      </c>
      <c r="AB11" s="72">
        <f t="shared" si="3"/>
        <v>0</v>
      </c>
      <c r="AC11" s="72">
        <f t="shared" si="3"/>
        <v>0</v>
      </c>
      <c r="AD11" s="72">
        <f t="shared" si="3"/>
        <v>0</v>
      </c>
      <c r="AE11" s="72">
        <f t="shared" si="3"/>
        <v>0</v>
      </c>
      <c r="AF11" s="72">
        <f t="shared" si="4"/>
        <v>0</v>
      </c>
      <c r="AG11" s="72">
        <f t="shared" si="4"/>
        <v>0</v>
      </c>
      <c r="AH11" s="72">
        <f t="shared" si="4"/>
        <v>0</v>
      </c>
      <c r="AI11" s="72">
        <f t="shared" si="4"/>
        <v>0</v>
      </c>
      <c r="AJ11" s="72">
        <f t="shared" si="4"/>
        <v>0</v>
      </c>
      <c r="AK11" s="72">
        <f t="shared" si="4"/>
        <v>0</v>
      </c>
      <c r="AL11" s="72">
        <f t="shared" si="4"/>
        <v>0</v>
      </c>
      <c r="AM11" s="72">
        <f t="shared" si="4"/>
        <v>0</v>
      </c>
      <c r="AN11" s="72">
        <f t="shared" si="4"/>
        <v>0</v>
      </c>
      <c r="AO11" s="72">
        <f t="shared" si="4"/>
        <v>0</v>
      </c>
      <c r="AP11" s="72">
        <f t="shared" si="5"/>
        <v>0</v>
      </c>
      <c r="AQ11" s="72">
        <f t="shared" si="5"/>
        <v>0</v>
      </c>
      <c r="AR11" s="72">
        <f t="shared" si="5"/>
        <v>0</v>
      </c>
      <c r="AS11" s="72">
        <f t="shared" si="5"/>
        <v>0</v>
      </c>
      <c r="AT11" s="72">
        <f t="shared" si="5"/>
        <v>0</v>
      </c>
      <c r="AU11" s="72">
        <f t="shared" si="5"/>
        <v>0</v>
      </c>
      <c r="AV11" s="72">
        <f t="shared" si="5"/>
        <v>0</v>
      </c>
      <c r="AW11" s="72">
        <f t="shared" si="5"/>
        <v>0</v>
      </c>
      <c r="AX11" s="72">
        <f t="shared" si="5"/>
        <v>0</v>
      </c>
      <c r="AY11" s="72">
        <f t="shared" si="5"/>
        <v>0</v>
      </c>
    </row>
    <row r="12" spans="2:51" ht="11.1" customHeight="1" outlineLevel="1">
      <c r="C12" s="1"/>
      <c r="Q12" s="36" t="s">
        <v>34</v>
      </c>
      <c r="R12" s="45">
        <f>SUMPRODUCT(($W$20:$AY$20=R$3)*($U12:$U13=R$2)*($W12:$AY12))</f>
        <v>0</v>
      </c>
      <c r="S12" s="37">
        <f>SUMPRODUCT(($W$20:$AY$20=S$3)*($U12:$U13=S$2)*($W12:$AY13))</f>
        <v>0</v>
      </c>
      <c r="U12" s="46" t="s">
        <v>6</v>
      </c>
      <c r="V12" s="104">
        <f t="shared" si="3"/>
        <v>0</v>
      </c>
      <c r="W12" s="104">
        <f t="shared" si="3"/>
        <v>0</v>
      </c>
      <c r="X12" s="104">
        <f t="shared" si="3"/>
        <v>0</v>
      </c>
      <c r="Y12" s="105">
        <f t="shared" si="3"/>
        <v>0</v>
      </c>
      <c r="Z12" s="104">
        <f t="shared" si="3"/>
        <v>0</v>
      </c>
      <c r="AA12" s="104">
        <f t="shared" si="3"/>
        <v>0</v>
      </c>
      <c r="AB12" s="104">
        <f t="shared" si="3"/>
        <v>0</v>
      </c>
      <c r="AC12" s="104">
        <f t="shared" si="3"/>
        <v>2</v>
      </c>
      <c r="AD12" s="104">
        <f t="shared" si="3"/>
        <v>2</v>
      </c>
      <c r="AE12" s="104">
        <f t="shared" si="3"/>
        <v>0</v>
      </c>
      <c r="AF12" s="104">
        <f t="shared" si="4"/>
        <v>0</v>
      </c>
      <c r="AG12" s="104">
        <f t="shared" si="4"/>
        <v>0</v>
      </c>
      <c r="AH12" s="104">
        <f t="shared" si="4"/>
        <v>0</v>
      </c>
      <c r="AI12" s="104">
        <f t="shared" si="4"/>
        <v>0</v>
      </c>
      <c r="AJ12" s="104">
        <f t="shared" si="4"/>
        <v>0</v>
      </c>
      <c r="AK12" s="104">
        <f t="shared" si="4"/>
        <v>0</v>
      </c>
      <c r="AL12" s="104">
        <f t="shared" si="4"/>
        <v>0</v>
      </c>
      <c r="AM12" s="104">
        <f t="shared" si="4"/>
        <v>0</v>
      </c>
      <c r="AN12" s="104">
        <f t="shared" si="4"/>
        <v>0</v>
      </c>
      <c r="AO12" s="104">
        <f t="shared" si="4"/>
        <v>0</v>
      </c>
      <c r="AP12" s="104">
        <f t="shared" si="5"/>
        <v>0</v>
      </c>
      <c r="AQ12" s="104">
        <f t="shared" si="5"/>
        <v>0</v>
      </c>
      <c r="AR12" s="104">
        <f t="shared" si="5"/>
        <v>0</v>
      </c>
      <c r="AS12" s="104">
        <f t="shared" si="5"/>
        <v>0</v>
      </c>
      <c r="AT12" s="104">
        <f t="shared" si="5"/>
        <v>0</v>
      </c>
      <c r="AU12" s="104">
        <f t="shared" si="5"/>
        <v>0</v>
      </c>
      <c r="AV12" s="104">
        <f t="shared" si="5"/>
        <v>0</v>
      </c>
      <c r="AW12" s="104">
        <f t="shared" si="5"/>
        <v>0</v>
      </c>
      <c r="AX12" s="104">
        <f t="shared" si="5"/>
        <v>0</v>
      </c>
      <c r="AY12" s="104">
        <f t="shared" si="5"/>
        <v>0</v>
      </c>
    </row>
    <row r="13" spans="2:51" ht="11.1" customHeight="1" outlineLevel="1">
      <c r="C13" s="1"/>
      <c r="Q13" s="38" t="str">
        <f>Q12</f>
        <v>Person5</v>
      </c>
      <c r="R13" s="45"/>
      <c r="S13" s="37"/>
      <c r="U13" s="75" t="s">
        <v>7</v>
      </c>
      <c r="V13" s="72">
        <f t="shared" si="3"/>
        <v>0</v>
      </c>
      <c r="W13" s="72">
        <f t="shared" si="3"/>
        <v>0</v>
      </c>
      <c r="X13" s="72">
        <f t="shared" si="3"/>
        <v>0</v>
      </c>
      <c r="Y13" s="105">
        <f t="shared" si="3"/>
        <v>0</v>
      </c>
      <c r="Z13" s="72">
        <f t="shared" si="3"/>
        <v>0</v>
      </c>
      <c r="AA13" s="72">
        <f t="shared" si="3"/>
        <v>0</v>
      </c>
      <c r="AB13" s="72">
        <f t="shared" si="3"/>
        <v>0</v>
      </c>
      <c r="AC13" s="72">
        <f t="shared" si="3"/>
        <v>0</v>
      </c>
      <c r="AD13" s="72">
        <f t="shared" si="3"/>
        <v>0</v>
      </c>
      <c r="AE13" s="72">
        <f t="shared" si="3"/>
        <v>0</v>
      </c>
      <c r="AF13" s="72">
        <f t="shared" si="4"/>
        <v>0</v>
      </c>
      <c r="AG13" s="72">
        <f t="shared" si="4"/>
        <v>0</v>
      </c>
      <c r="AH13" s="72">
        <f t="shared" si="4"/>
        <v>0</v>
      </c>
      <c r="AI13" s="72">
        <f t="shared" si="4"/>
        <v>0</v>
      </c>
      <c r="AJ13" s="72">
        <f t="shared" si="4"/>
        <v>0</v>
      </c>
      <c r="AK13" s="72">
        <f t="shared" si="4"/>
        <v>0</v>
      </c>
      <c r="AL13" s="72">
        <f t="shared" si="4"/>
        <v>0</v>
      </c>
      <c r="AM13" s="72">
        <f t="shared" si="4"/>
        <v>0</v>
      </c>
      <c r="AN13" s="72">
        <f t="shared" si="4"/>
        <v>0</v>
      </c>
      <c r="AO13" s="72">
        <f t="shared" si="4"/>
        <v>0</v>
      </c>
      <c r="AP13" s="72">
        <f t="shared" si="5"/>
        <v>0</v>
      </c>
      <c r="AQ13" s="72">
        <f t="shared" si="5"/>
        <v>0</v>
      </c>
      <c r="AR13" s="72">
        <f t="shared" si="5"/>
        <v>0</v>
      </c>
      <c r="AS13" s="72">
        <f t="shared" si="5"/>
        <v>0</v>
      </c>
      <c r="AT13" s="72">
        <f t="shared" si="5"/>
        <v>0</v>
      </c>
      <c r="AU13" s="72">
        <f t="shared" si="5"/>
        <v>0</v>
      </c>
      <c r="AV13" s="72">
        <f t="shared" si="5"/>
        <v>0</v>
      </c>
      <c r="AW13" s="72">
        <f t="shared" si="5"/>
        <v>0</v>
      </c>
      <c r="AX13" s="72">
        <f t="shared" si="5"/>
        <v>0</v>
      </c>
      <c r="AY13" s="72">
        <f t="shared" si="5"/>
        <v>0</v>
      </c>
    </row>
    <row r="14" spans="2:51" ht="11.1" customHeight="1" outlineLevel="1">
      <c r="C14" s="1"/>
      <c r="Q14" s="36" t="s">
        <v>35</v>
      </c>
      <c r="R14" s="45">
        <f>SUMPRODUCT(($W$20:$AY$20=R$3)*($U14:$U15=R$2)*($W14:$AY14))</f>
        <v>0</v>
      </c>
      <c r="S14" s="37">
        <f>SUMPRODUCT(($W$20:$AY$20=S$3)*($U14:$U15=S$2)*($W14:$AY15))</f>
        <v>0</v>
      </c>
      <c r="U14" s="46" t="s">
        <v>6</v>
      </c>
      <c r="V14" s="104">
        <f t="shared" si="3"/>
        <v>0</v>
      </c>
      <c r="W14" s="104">
        <f t="shared" si="3"/>
        <v>0</v>
      </c>
      <c r="X14" s="104">
        <f t="shared" si="3"/>
        <v>0</v>
      </c>
      <c r="Y14" s="105">
        <f t="shared" si="3"/>
        <v>0</v>
      </c>
      <c r="Z14" s="104">
        <f t="shared" si="3"/>
        <v>0</v>
      </c>
      <c r="AA14" s="104">
        <f t="shared" si="3"/>
        <v>0</v>
      </c>
      <c r="AB14" s="104">
        <f t="shared" si="3"/>
        <v>8</v>
      </c>
      <c r="AC14" s="104">
        <f t="shared" si="3"/>
        <v>6</v>
      </c>
      <c r="AD14" s="104">
        <f t="shared" si="3"/>
        <v>0</v>
      </c>
      <c r="AE14" s="104">
        <f t="shared" si="3"/>
        <v>0</v>
      </c>
      <c r="AF14" s="104">
        <f t="shared" si="4"/>
        <v>0</v>
      </c>
      <c r="AG14" s="104">
        <f t="shared" si="4"/>
        <v>0</v>
      </c>
      <c r="AH14" s="104">
        <f t="shared" si="4"/>
        <v>0</v>
      </c>
      <c r="AI14" s="104">
        <f t="shared" si="4"/>
        <v>0</v>
      </c>
      <c r="AJ14" s="104">
        <f t="shared" si="4"/>
        <v>0</v>
      </c>
      <c r="AK14" s="104">
        <f t="shared" si="4"/>
        <v>0</v>
      </c>
      <c r="AL14" s="104">
        <f t="shared" si="4"/>
        <v>0</v>
      </c>
      <c r="AM14" s="104">
        <f t="shared" si="4"/>
        <v>0</v>
      </c>
      <c r="AN14" s="104">
        <f t="shared" si="4"/>
        <v>0</v>
      </c>
      <c r="AO14" s="104">
        <f t="shared" si="4"/>
        <v>0</v>
      </c>
      <c r="AP14" s="104">
        <f t="shared" si="5"/>
        <v>0</v>
      </c>
      <c r="AQ14" s="104">
        <f t="shared" si="5"/>
        <v>0</v>
      </c>
      <c r="AR14" s="104">
        <f t="shared" si="5"/>
        <v>0</v>
      </c>
      <c r="AS14" s="104">
        <f t="shared" si="5"/>
        <v>0</v>
      </c>
      <c r="AT14" s="104">
        <f t="shared" si="5"/>
        <v>0</v>
      </c>
      <c r="AU14" s="104">
        <f t="shared" si="5"/>
        <v>0</v>
      </c>
      <c r="AV14" s="104">
        <f t="shared" si="5"/>
        <v>0</v>
      </c>
      <c r="AW14" s="104">
        <f t="shared" si="5"/>
        <v>0</v>
      </c>
      <c r="AX14" s="104">
        <f t="shared" si="5"/>
        <v>0</v>
      </c>
      <c r="AY14" s="104">
        <f t="shared" si="5"/>
        <v>0</v>
      </c>
    </row>
    <row r="15" spans="2:51" ht="11.1" customHeight="1" outlineLevel="1">
      <c r="C15" s="1"/>
      <c r="Q15" s="38" t="str">
        <f>Q14</f>
        <v>Person6</v>
      </c>
      <c r="R15" s="45"/>
      <c r="S15" s="37"/>
      <c r="U15" s="75" t="s">
        <v>7</v>
      </c>
      <c r="V15" s="72">
        <f t="shared" si="3"/>
        <v>0</v>
      </c>
      <c r="W15" s="72">
        <f t="shared" si="3"/>
        <v>0</v>
      </c>
      <c r="X15" s="72">
        <f t="shared" si="3"/>
        <v>0</v>
      </c>
      <c r="Y15" s="105">
        <f t="shared" si="3"/>
        <v>0</v>
      </c>
      <c r="Z15" s="72">
        <f t="shared" si="3"/>
        <v>0</v>
      </c>
      <c r="AA15" s="72">
        <f t="shared" si="3"/>
        <v>0</v>
      </c>
      <c r="AB15" s="72">
        <f t="shared" si="3"/>
        <v>0</v>
      </c>
      <c r="AC15" s="72">
        <f t="shared" si="3"/>
        <v>0</v>
      </c>
      <c r="AD15" s="72">
        <f t="shared" si="3"/>
        <v>0</v>
      </c>
      <c r="AE15" s="72">
        <f t="shared" si="3"/>
        <v>0</v>
      </c>
      <c r="AF15" s="72">
        <f t="shared" si="4"/>
        <v>0</v>
      </c>
      <c r="AG15" s="72">
        <f t="shared" si="4"/>
        <v>0</v>
      </c>
      <c r="AH15" s="72">
        <f t="shared" si="4"/>
        <v>0</v>
      </c>
      <c r="AI15" s="72">
        <f t="shared" si="4"/>
        <v>0</v>
      </c>
      <c r="AJ15" s="72">
        <f t="shared" si="4"/>
        <v>0</v>
      </c>
      <c r="AK15" s="72">
        <f t="shared" si="4"/>
        <v>0</v>
      </c>
      <c r="AL15" s="72">
        <f t="shared" si="4"/>
        <v>0</v>
      </c>
      <c r="AM15" s="72">
        <f t="shared" si="4"/>
        <v>0</v>
      </c>
      <c r="AN15" s="72">
        <f t="shared" si="4"/>
        <v>0</v>
      </c>
      <c r="AO15" s="72">
        <f t="shared" si="4"/>
        <v>0</v>
      </c>
      <c r="AP15" s="72">
        <f t="shared" si="5"/>
        <v>0</v>
      </c>
      <c r="AQ15" s="72">
        <f t="shared" si="5"/>
        <v>0</v>
      </c>
      <c r="AR15" s="72">
        <f t="shared" si="5"/>
        <v>0</v>
      </c>
      <c r="AS15" s="72">
        <f t="shared" si="5"/>
        <v>0</v>
      </c>
      <c r="AT15" s="72">
        <f t="shared" si="5"/>
        <v>0</v>
      </c>
      <c r="AU15" s="72">
        <f t="shared" si="5"/>
        <v>0</v>
      </c>
      <c r="AV15" s="72">
        <f t="shared" si="5"/>
        <v>0</v>
      </c>
      <c r="AW15" s="72">
        <f t="shared" si="5"/>
        <v>0</v>
      </c>
      <c r="AX15" s="72">
        <f t="shared" si="5"/>
        <v>0</v>
      </c>
      <c r="AY15" s="72">
        <f t="shared" si="5"/>
        <v>0</v>
      </c>
    </row>
    <row r="16" spans="2:51" outlineLevel="1">
      <c r="C16" s="1"/>
      <c r="Q16" s="1"/>
      <c r="R16" s="47">
        <f>R3</f>
        <v>5</v>
      </c>
      <c r="S16" s="37">
        <f>S3</f>
        <v>5</v>
      </c>
    </row>
    <row r="17" spans="2:51" ht="10.5" customHeight="1" outlineLevel="1">
      <c r="Q17" s="39" t="s">
        <v>8</v>
      </c>
      <c r="R17" s="45">
        <f>SUMPRODUCT(($W$20:$AY$20=R$3)*($U17:$U18=R$2)*($W17:$AY17))</f>
        <v>0</v>
      </c>
      <c r="S17" s="37">
        <f>SUMPRODUCT(($W$20:$AY$20=S$3)*($U17:$U18=S$2)*($W17:$AY18))</f>
        <v>0</v>
      </c>
      <c r="U17" s="46" t="s">
        <v>6</v>
      </c>
      <c r="V17" s="72">
        <f t="shared" ref="V17:AM17" si="6">SUM(V4,V6,V8,V10,V12,V14)</f>
        <v>16</v>
      </c>
      <c r="W17" s="72">
        <f t="shared" si="6"/>
        <v>8</v>
      </c>
      <c r="X17" s="72">
        <f t="shared" si="6"/>
        <v>2</v>
      </c>
      <c r="Y17" s="72">
        <f t="shared" si="6"/>
        <v>0</v>
      </c>
      <c r="Z17" s="72">
        <f t="shared" si="6"/>
        <v>0</v>
      </c>
      <c r="AA17" s="72">
        <f t="shared" si="6"/>
        <v>8</v>
      </c>
      <c r="AB17" s="72">
        <f t="shared" si="6"/>
        <v>16</v>
      </c>
      <c r="AC17" s="72">
        <f t="shared" si="6"/>
        <v>10</v>
      </c>
      <c r="AD17" s="72">
        <f t="shared" si="6"/>
        <v>2</v>
      </c>
      <c r="AE17" s="72">
        <f t="shared" si="6"/>
        <v>0</v>
      </c>
      <c r="AF17" s="72">
        <f t="shared" si="6"/>
        <v>0</v>
      </c>
      <c r="AG17" s="72">
        <f t="shared" si="6"/>
        <v>0</v>
      </c>
      <c r="AH17" s="72">
        <f t="shared" si="6"/>
        <v>0</v>
      </c>
      <c r="AI17" s="72">
        <f t="shared" si="6"/>
        <v>0</v>
      </c>
      <c r="AJ17" s="72">
        <f t="shared" si="6"/>
        <v>0</v>
      </c>
      <c r="AK17" s="72">
        <f t="shared" si="6"/>
        <v>0</v>
      </c>
      <c r="AL17" s="72">
        <f t="shared" si="6"/>
        <v>0</v>
      </c>
      <c r="AM17" s="72">
        <f t="shared" si="6"/>
        <v>0</v>
      </c>
      <c r="AN17" s="72">
        <f>SUM(AN4,AN6,AN8,AN10,AN12,AN14)</f>
        <v>0</v>
      </c>
      <c r="AO17" s="72">
        <f t="shared" ref="AO17:AY17" si="7">SUM(AO4,AO6,AO8,AO10,AO12,AO14)</f>
        <v>0</v>
      </c>
      <c r="AP17" s="72">
        <f t="shared" si="7"/>
        <v>0</v>
      </c>
      <c r="AQ17" s="72">
        <f t="shared" si="7"/>
        <v>0</v>
      </c>
      <c r="AR17" s="72">
        <f t="shared" si="7"/>
        <v>0</v>
      </c>
      <c r="AS17" s="72">
        <f t="shared" si="7"/>
        <v>0</v>
      </c>
      <c r="AT17" s="72">
        <f t="shared" si="7"/>
        <v>0</v>
      </c>
      <c r="AU17" s="72">
        <f t="shared" si="7"/>
        <v>0</v>
      </c>
      <c r="AV17" s="72">
        <f t="shared" si="7"/>
        <v>0</v>
      </c>
      <c r="AW17" s="72">
        <f t="shared" si="7"/>
        <v>0</v>
      </c>
      <c r="AX17" s="72">
        <f t="shared" si="7"/>
        <v>0</v>
      </c>
      <c r="AY17" s="72">
        <f t="shared" si="7"/>
        <v>0</v>
      </c>
    </row>
    <row r="18" spans="2:51" ht="10.5" customHeight="1" outlineLevel="1">
      <c r="K18" s="32"/>
      <c r="L18" s="32"/>
      <c r="M18" s="32"/>
      <c r="U18" s="75" t="s">
        <v>7</v>
      </c>
      <c r="V18" s="72">
        <f t="shared" ref="V18:AM18" si="8">SUM(V5,V7,V9,V11,V13,V15)</f>
        <v>16</v>
      </c>
      <c r="W18" s="72">
        <f t="shared" si="8"/>
        <v>8</v>
      </c>
      <c r="X18" s="72">
        <f t="shared" si="8"/>
        <v>2</v>
      </c>
      <c r="Y18" s="72">
        <f t="shared" si="8"/>
        <v>0</v>
      </c>
      <c r="Z18" s="72">
        <f t="shared" si="8"/>
        <v>0</v>
      </c>
      <c r="AA18" s="72">
        <f t="shared" si="8"/>
        <v>0</v>
      </c>
      <c r="AB18" s="72">
        <f t="shared" si="8"/>
        <v>0</v>
      </c>
      <c r="AC18" s="72">
        <f t="shared" si="8"/>
        <v>0</v>
      </c>
      <c r="AD18" s="72">
        <f t="shared" si="8"/>
        <v>0</v>
      </c>
      <c r="AE18" s="72">
        <f t="shared" si="8"/>
        <v>0</v>
      </c>
      <c r="AF18" s="72">
        <f t="shared" si="8"/>
        <v>0</v>
      </c>
      <c r="AG18" s="72">
        <f t="shared" si="8"/>
        <v>0</v>
      </c>
      <c r="AH18" s="72">
        <f t="shared" si="8"/>
        <v>0</v>
      </c>
      <c r="AI18" s="72">
        <f t="shared" si="8"/>
        <v>0</v>
      </c>
      <c r="AJ18" s="72">
        <f t="shared" si="8"/>
        <v>0</v>
      </c>
      <c r="AK18" s="72">
        <f t="shared" si="8"/>
        <v>0</v>
      </c>
      <c r="AL18" s="72">
        <f t="shared" si="8"/>
        <v>0</v>
      </c>
      <c r="AM18" s="72">
        <f t="shared" si="8"/>
        <v>0</v>
      </c>
      <c r="AN18" s="72">
        <f>SUM(AN5,AN7,AN9,AN11,AN13,AN15)</f>
        <v>0</v>
      </c>
      <c r="AO18" s="72">
        <f t="shared" ref="AO18:AY18" si="9">SUM(AO5,AO7,AO9,AO11,AO13,AO15)</f>
        <v>0</v>
      </c>
      <c r="AP18" s="72">
        <f t="shared" si="9"/>
        <v>0</v>
      </c>
      <c r="AQ18" s="72">
        <f t="shared" si="9"/>
        <v>0</v>
      </c>
      <c r="AR18" s="72">
        <f t="shared" si="9"/>
        <v>0</v>
      </c>
      <c r="AS18" s="72">
        <f t="shared" si="9"/>
        <v>0</v>
      </c>
      <c r="AT18" s="72">
        <f t="shared" si="9"/>
        <v>0</v>
      </c>
      <c r="AU18" s="72">
        <f t="shared" si="9"/>
        <v>0</v>
      </c>
      <c r="AV18" s="72">
        <f t="shared" si="9"/>
        <v>0</v>
      </c>
      <c r="AW18" s="72">
        <f t="shared" si="9"/>
        <v>0</v>
      </c>
      <c r="AX18" s="72">
        <f t="shared" si="9"/>
        <v>0</v>
      </c>
      <c r="AY18" s="72">
        <f t="shared" si="9"/>
        <v>0</v>
      </c>
    </row>
    <row r="19" spans="2:51">
      <c r="D19" s="63" t="s">
        <v>12</v>
      </c>
      <c r="E19" s="64">
        <f ca="1">TODAY()</f>
        <v>46138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2:51" ht="14.25" customHeight="1">
      <c r="K20" s="3" t="s">
        <v>21</v>
      </c>
      <c r="L20" s="3"/>
      <c r="M20" s="3"/>
      <c r="V20" s="6" t="str">
        <f>TEXT(V22,"m月")</f>
        <v>4月</v>
      </c>
      <c r="W20" s="6" t="str">
        <f>TEXT(W22,"m月")</f>
        <v>4月</v>
      </c>
      <c r="X20" s="6" t="str">
        <f t="shared" ref="X20:AY20" si="10">TEXT(X22,"m月")</f>
        <v>4月</v>
      </c>
      <c r="Y20" s="6" t="str">
        <f t="shared" si="10"/>
        <v>4月</v>
      </c>
      <c r="Z20" s="6" t="str">
        <f t="shared" si="10"/>
        <v>4月</v>
      </c>
      <c r="AA20" s="6" t="str">
        <f t="shared" si="10"/>
        <v>4月</v>
      </c>
      <c r="AB20" s="6" t="str">
        <f t="shared" si="10"/>
        <v>4月</v>
      </c>
      <c r="AC20" s="6" t="str">
        <f t="shared" si="10"/>
        <v>4月</v>
      </c>
      <c r="AD20" s="6" t="str">
        <f t="shared" si="10"/>
        <v>4月</v>
      </c>
      <c r="AE20" s="6" t="str">
        <f t="shared" si="10"/>
        <v>4月</v>
      </c>
      <c r="AF20" s="6" t="str">
        <f t="shared" si="10"/>
        <v>4月</v>
      </c>
      <c r="AG20" s="6" t="str">
        <f t="shared" si="10"/>
        <v>4月</v>
      </c>
      <c r="AH20" s="6" t="str">
        <f t="shared" si="10"/>
        <v>4月</v>
      </c>
      <c r="AI20" s="6" t="str">
        <f t="shared" si="10"/>
        <v>4月</v>
      </c>
      <c r="AJ20" s="6" t="str">
        <f t="shared" si="10"/>
        <v>4月</v>
      </c>
      <c r="AK20" s="6" t="str">
        <f t="shared" si="10"/>
        <v>4月</v>
      </c>
      <c r="AL20" s="6" t="str">
        <f t="shared" si="10"/>
        <v>4月</v>
      </c>
      <c r="AM20" s="6" t="str">
        <f t="shared" si="10"/>
        <v>4月</v>
      </c>
      <c r="AN20" s="6" t="str">
        <f t="shared" si="10"/>
        <v>4月</v>
      </c>
      <c r="AO20" s="6" t="str">
        <f t="shared" si="10"/>
        <v>4月</v>
      </c>
      <c r="AP20" s="6" t="str">
        <f t="shared" si="10"/>
        <v>4月</v>
      </c>
      <c r="AQ20" s="6" t="str">
        <f t="shared" si="10"/>
        <v>4月</v>
      </c>
      <c r="AR20" s="6" t="str">
        <f t="shared" si="10"/>
        <v>4月</v>
      </c>
      <c r="AS20" s="6" t="str">
        <f t="shared" si="10"/>
        <v>4月</v>
      </c>
      <c r="AT20" s="6" t="str">
        <f t="shared" si="10"/>
        <v>4月</v>
      </c>
      <c r="AU20" s="6" t="str">
        <f t="shared" si="10"/>
        <v>4月</v>
      </c>
      <c r="AV20" s="6" t="str">
        <f t="shared" si="10"/>
        <v>4月</v>
      </c>
      <c r="AW20" s="6" t="str">
        <f t="shared" si="10"/>
        <v>4月</v>
      </c>
      <c r="AX20" s="6" t="str">
        <f t="shared" si="10"/>
        <v>4月</v>
      </c>
      <c r="AY20" s="6" t="str">
        <f t="shared" si="10"/>
        <v>4月</v>
      </c>
    </row>
    <row r="21" spans="2:51" s="7" customFormat="1" ht="15" customHeight="1">
      <c r="B21" s="164"/>
      <c r="C21" s="166" t="s">
        <v>10</v>
      </c>
      <c r="D21" s="168" t="s">
        <v>23</v>
      </c>
      <c r="E21" s="169"/>
      <c r="F21" s="169"/>
      <c r="G21" s="169"/>
      <c r="H21" s="169"/>
      <c r="I21" s="170"/>
      <c r="J21" s="122" t="s">
        <v>40</v>
      </c>
      <c r="K21" s="124" t="s">
        <v>0</v>
      </c>
      <c r="L21" s="110" t="s">
        <v>27</v>
      </c>
      <c r="M21" s="110" t="s">
        <v>25</v>
      </c>
      <c r="N21" s="40" t="s">
        <v>43</v>
      </c>
      <c r="O21" s="8" t="s">
        <v>29</v>
      </c>
      <c r="P21" s="8" t="s">
        <v>44</v>
      </c>
      <c r="Q21" s="79" t="s">
        <v>46</v>
      </c>
      <c r="R21" s="73" t="s">
        <v>20</v>
      </c>
      <c r="S21" s="126" t="s">
        <v>47</v>
      </c>
      <c r="T21" s="120" t="s">
        <v>48</v>
      </c>
      <c r="U21" s="42" t="s">
        <v>3</v>
      </c>
      <c r="V21" s="9">
        <v>46113</v>
      </c>
      <c r="W21" s="9">
        <v>46114</v>
      </c>
      <c r="X21" s="9">
        <v>46115</v>
      </c>
      <c r="Y21" s="9">
        <v>46116</v>
      </c>
      <c r="Z21" s="9">
        <v>46117</v>
      </c>
      <c r="AA21" s="9">
        <v>46118</v>
      </c>
      <c r="AB21" s="9">
        <v>46119</v>
      </c>
      <c r="AC21" s="9">
        <v>46120</v>
      </c>
      <c r="AD21" s="9">
        <v>46121</v>
      </c>
      <c r="AE21" s="9">
        <v>46122</v>
      </c>
      <c r="AF21" s="9">
        <v>46123</v>
      </c>
      <c r="AG21" s="9">
        <v>46124</v>
      </c>
      <c r="AH21" s="9">
        <v>46125</v>
      </c>
      <c r="AI21" s="9">
        <v>46126</v>
      </c>
      <c r="AJ21" s="9">
        <v>46127</v>
      </c>
      <c r="AK21" s="9">
        <v>46128</v>
      </c>
      <c r="AL21" s="9">
        <v>46129</v>
      </c>
      <c r="AM21" s="9">
        <v>46130</v>
      </c>
      <c r="AN21" s="9">
        <v>46131</v>
      </c>
      <c r="AO21" s="9">
        <v>46132</v>
      </c>
      <c r="AP21" s="9">
        <v>46133</v>
      </c>
      <c r="AQ21" s="9">
        <v>46134</v>
      </c>
      <c r="AR21" s="9">
        <v>46135</v>
      </c>
      <c r="AS21" s="9">
        <v>46136</v>
      </c>
      <c r="AT21" s="9">
        <v>46137</v>
      </c>
      <c r="AU21" s="9">
        <v>46138</v>
      </c>
      <c r="AV21" s="9">
        <v>46139</v>
      </c>
      <c r="AW21" s="9">
        <v>46140</v>
      </c>
      <c r="AX21" s="9">
        <v>46141</v>
      </c>
      <c r="AY21" s="9">
        <v>46142</v>
      </c>
    </row>
    <row r="22" spans="2:51" s="7" customFormat="1">
      <c r="B22" s="165"/>
      <c r="C22" s="167"/>
      <c r="D22" s="171"/>
      <c r="E22" s="123"/>
      <c r="F22" s="123"/>
      <c r="G22" s="123"/>
      <c r="H22" s="123"/>
      <c r="I22" s="172"/>
      <c r="J22" s="123"/>
      <c r="K22" s="125"/>
      <c r="L22" s="111" t="s">
        <v>28</v>
      </c>
      <c r="M22" s="111" t="s">
        <v>26</v>
      </c>
      <c r="N22" s="41" t="s">
        <v>4</v>
      </c>
      <c r="O22" s="84" t="s">
        <v>4</v>
      </c>
      <c r="P22" s="10" t="s">
        <v>4</v>
      </c>
      <c r="Q22" s="80" t="s">
        <v>45</v>
      </c>
      <c r="R22" s="74" t="s">
        <v>11</v>
      </c>
      <c r="S22" s="127"/>
      <c r="T22" s="121"/>
      <c r="U22" s="43" t="s">
        <v>5</v>
      </c>
      <c r="V22" s="11">
        <v>46113</v>
      </c>
      <c r="W22" s="11">
        <v>46114</v>
      </c>
      <c r="X22" s="11">
        <v>46115</v>
      </c>
      <c r="Y22" s="11">
        <v>46116</v>
      </c>
      <c r="Z22" s="11">
        <v>46117</v>
      </c>
      <c r="AA22" s="11">
        <v>46118</v>
      </c>
      <c r="AB22" s="11">
        <v>46119</v>
      </c>
      <c r="AC22" s="11">
        <v>46120</v>
      </c>
      <c r="AD22" s="11">
        <v>46121</v>
      </c>
      <c r="AE22" s="11">
        <v>46122</v>
      </c>
      <c r="AF22" s="11">
        <v>46123</v>
      </c>
      <c r="AG22" s="11">
        <v>46124</v>
      </c>
      <c r="AH22" s="11">
        <v>46125</v>
      </c>
      <c r="AI22" s="11">
        <v>46126</v>
      </c>
      <c r="AJ22" s="11">
        <v>46127</v>
      </c>
      <c r="AK22" s="11">
        <v>46128</v>
      </c>
      <c r="AL22" s="11">
        <v>46129</v>
      </c>
      <c r="AM22" s="11">
        <v>46130</v>
      </c>
      <c r="AN22" s="11">
        <v>46131</v>
      </c>
      <c r="AO22" s="11">
        <v>46132</v>
      </c>
      <c r="AP22" s="11">
        <v>46133</v>
      </c>
      <c r="AQ22" s="11">
        <v>46134</v>
      </c>
      <c r="AR22" s="11">
        <v>46135</v>
      </c>
      <c r="AS22" s="11">
        <v>46136</v>
      </c>
      <c r="AT22" s="11">
        <v>46137</v>
      </c>
      <c r="AU22" s="11">
        <v>46138</v>
      </c>
      <c r="AV22" s="11">
        <v>46139</v>
      </c>
      <c r="AW22" s="11">
        <v>46140</v>
      </c>
      <c r="AX22" s="11">
        <v>46141</v>
      </c>
      <c r="AY22" s="11">
        <v>46142</v>
      </c>
    </row>
    <row r="23" spans="2:51" ht="14.25" customHeight="1">
      <c r="B23" s="70"/>
      <c r="C23" s="161" t="s">
        <v>14</v>
      </c>
      <c r="D23" s="173" t="s">
        <v>15</v>
      </c>
      <c r="E23" s="174"/>
      <c r="F23" s="174"/>
      <c r="G23" s="174"/>
      <c r="H23" s="174"/>
      <c r="I23" s="175"/>
      <c r="J23" s="128" t="s">
        <v>13</v>
      </c>
      <c r="K23" s="68" t="s">
        <v>30</v>
      </c>
      <c r="L23" s="16"/>
      <c r="M23" s="114">
        <f>SUMIFS(V23:AY23,V24:AY24,"")-L23</f>
        <v>0</v>
      </c>
      <c r="N23" s="15">
        <f>SUM(V23:AY23)</f>
        <v>8</v>
      </c>
      <c r="O23" s="16">
        <f>SUM(V24:AY24)</f>
        <v>8</v>
      </c>
      <c r="P23" s="16">
        <v>8</v>
      </c>
      <c r="Q23" s="17">
        <v>46113</v>
      </c>
      <c r="R23" s="17">
        <v>46113</v>
      </c>
      <c r="S23" s="18">
        <f>IF(N23=0,"",N23-O23)</f>
        <v>0</v>
      </c>
      <c r="T23" s="65">
        <f>IF(S23="","",IF(S23=0,1,IF(O23=0,"",O23/(O23+S23))))</f>
        <v>1</v>
      </c>
      <c r="U23" s="19" t="s">
        <v>43</v>
      </c>
      <c r="V23" s="20">
        <v>8</v>
      </c>
      <c r="W23" s="20"/>
      <c r="X23" s="20"/>
      <c r="Y23" s="76"/>
      <c r="Z23" s="76"/>
      <c r="AA23" s="20"/>
      <c r="AB23" s="20"/>
      <c r="AC23" s="20"/>
      <c r="AD23" s="20"/>
      <c r="AE23" s="20"/>
      <c r="AF23" s="76"/>
      <c r="AG23" s="76"/>
      <c r="AH23" s="76"/>
      <c r="AI23" s="76"/>
      <c r="AJ23" s="76"/>
      <c r="AK23" s="76"/>
      <c r="AL23" s="76"/>
      <c r="AM23" s="76"/>
      <c r="AN23" s="76"/>
      <c r="AO23" s="20"/>
      <c r="AP23" s="20"/>
      <c r="AQ23" s="20"/>
      <c r="AR23" s="20"/>
      <c r="AS23" s="20"/>
      <c r="AT23" s="108"/>
      <c r="AU23" s="108"/>
      <c r="AV23" s="20"/>
      <c r="AW23" s="20"/>
      <c r="AX23" s="20"/>
      <c r="AY23" s="20"/>
    </row>
    <row r="24" spans="2:51">
      <c r="B24" s="71"/>
      <c r="C24" s="160"/>
      <c r="D24" s="176"/>
      <c r="E24" s="177"/>
      <c r="F24" s="177"/>
      <c r="G24" s="177"/>
      <c r="H24" s="177"/>
      <c r="I24" s="178"/>
      <c r="J24" s="129"/>
      <c r="K24" s="69" t="str">
        <f>IF(K23="","",K23)</f>
        <v>Person1</v>
      </c>
      <c r="L24" s="21">
        <f t="shared" ref="L24:P24" si="11">L23</f>
        <v>0</v>
      </c>
      <c r="M24" s="21">
        <f t="shared" si="11"/>
        <v>0</v>
      </c>
      <c r="N24" s="21">
        <f t="shared" si="11"/>
        <v>8</v>
      </c>
      <c r="O24" s="21">
        <f>O23</f>
        <v>8</v>
      </c>
      <c r="P24" s="21">
        <f t="shared" si="11"/>
        <v>8</v>
      </c>
      <c r="Q24" s="22">
        <v>46113</v>
      </c>
      <c r="R24" s="13">
        <v>46113</v>
      </c>
      <c r="S24" s="67">
        <f>S23</f>
        <v>0</v>
      </c>
      <c r="T24" s="66">
        <f>T23</f>
        <v>1</v>
      </c>
      <c r="U24" s="23" t="s">
        <v>7</v>
      </c>
      <c r="V24" s="14">
        <v>8</v>
      </c>
      <c r="W24" s="14"/>
      <c r="X24" s="14"/>
      <c r="Y24" s="77"/>
      <c r="Z24" s="77"/>
      <c r="AA24" s="14"/>
      <c r="AB24" s="14"/>
      <c r="AC24" s="14"/>
      <c r="AD24" s="14"/>
      <c r="AE24" s="14"/>
      <c r="AF24" s="77"/>
      <c r="AG24" s="77"/>
      <c r="AH24" s="77"/>
      <c r="AI24" s="77"/>
      <c r="AJ24" s="77"/>
      <c r="AK24" s="77"/>
      <c r="AL24" s="77"/>
      <c r="AM24" s="77"/>
      <c r="AN24" s="77"/>
      <c r="AO24" s="14"/>
      <c r="AP24" s="14"/>
      <c r="AQ24" s="14"/>
      <c r="AR24" s="14"/>
      <c r="AS24" s="14"/>
      <c r="AT24" s="109"/>
      <c r="AU24" s="109"/>
      <c r="AV24" s="14"/>
      <c r="AW24" s="14"/>
      <c r="AX24" s="14"/>
      <c r="AY24" s="14"/>
    </row>
    <row r="25" spans="2:51" ht="13.35" customHeight="1">
      <c r="B25" s="86"/>
      <c r="C25" s="116"/>
      <c r="D25" s="130" t="s">
        <v>36</v>
      </c>
      <c r="E25" s="131"/>
      <c r="F25" s="131"/>
      <c r="G25" s="131"/>
      <c r="H25" s="131"/>
      <c r="I25" s="132"/>
      <c r="J25" s="118" t="s">
        <v>13</v>
      </c>
      <c r="K25" s="87"/>
      <c r="L25" s="16"/>
      <c r="M25" s="114">
        <f>SUMIFS(V25:AY25,V26:AY26,"")-L25</f>
        <v>0</v>
      </c>
      <c r="N25" s="15">
        <f>SUM(W25:AY25)</f>
        <v>0</v>
      </c>
      <c r="O25" s="16">
        <f>SUM(W26:AY26)</f>
        <v>0</v>
      </c>
      <c r="P25" s="88">
        <v>0</v>
      </c>
      <c r="Q25" s="89"/>
      <c r="R25" s="90"/>
      <c r="S25" s="91" t="str">
        <f>IF(N25=0,"",N25-O25)</f>
        <v/>
      </c>
      <c r="T25" s="92"/>
      <c r="U25" s="93" t="s">
        <v>6</v>
      </c>
      <c r="V25" s="94"/>
      <c r="W25" s="94"/>
      <c r="X25" s="94"/>
      <c r="Y25" s="76"/>
      <c r="Z25" s="76"/>
      <c r="AA25" s="94"/>
      <c r="AB25" s="94"/>
      <c r="AC25" s="94"/>
      <c r="AD25" s="94"/>
      <c r="AE25" s="94"/>
      <c r="AF25" s="76"/>
      <c r="AG25" s="76"/>
      <c r="AH25" s="76"/>
      <c r="AI25" s="76"/>
      <c r="AJ25" s="76"/>
      <c r="AK25" s="76"/>
      <c r="AL25" s="76"/>
      <c r="AM25" s="76"/>
      <c r="AN25" s="76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</row>
    <row r="26" spans="2:51" ht="12.6" customHeight="1">
      <c r="B26" s="95"/>
      <c r="C26" s="117"/>
      <c r="D26" s="133"/>
      <c r="E26" s="134"/>
      <c r="F26" s="134"/>
      <c r="G26" s="134"/>
      <c r="H26" s="134"/>
      <c r="I26" s="135"/>
      <c r="J26" s="119"/>
      <c r="K26" s="96" t="str">
        <f>IF(K25="","",K25)</f>
        <v/>
      </c>
      <c r="L26" s="21">
        <f>L25</f>
        <v>0</v>
      </c>
      <c r="M26" s="21">
        <f t="shared" ref="M26:P26" si="12">M25</f>
        <v>0</v>
      </c>
      <c r="N26" s="97">
        <f t="shared" si="12"/>
        <v>0</v>
      </c>
      <c r="O26" s="97">
        <f t="shared" si="12"/>
        <v>0</v>
      </c>
      <c r="P26" s="97">
        <f t="shared" si="12"/>
        <v>0</v>
      </c>
      <c r="Q26" s="98"/>
      <c r="R26" s="99"/>
      <c r="S26" s="100" t="str">
        <f>S25</f>
        <v/>
      </c>
      <c r="T26" s="101">
        <f>T25</f>
        <v>0</v>
      </c>
      <c r="U26" s="102" t="s">
        <v>44</v>
      </c>
      <c r="V26" s="103"/>
      <c r="W26" s="103"/>
      <c r="X26" s="103"/>
      <c r="Y26" s="77"/>
      <c r="Z26" s="77"/>
      <c r="AA26" s="103"/>
      <c r="AB26" s="103"/>
      <c r="AC26" s="103"/>
      <c r="AD26" s="103"/>
      <c r="AE26" s="103"/>
      <c r="AF26" s="77"/>
      <c r="AG26" s="77"/>
      <c r="AH26" s="77"/>
      <c r="AI26" s="77"/>
      <c r="AJ26" s="77"/>
      <c r="AK26" s="77"/>
      <c r="AL26" s="77"/>
      <c r="AM26" s="77"/>
      <c r="AN26" s="77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</row>
    <row r="27" spans="2:51" ht="14.1" customHeight="1">
      <c r="B27" s="106"/>
      <c r="C27" s="161" t="s">
        <v>17</v>
      </c>
      <c r="D27" s="151"/>
      <c r="E27" s="162"/>
      <c r="F27" s="137" t="s">
        <v>37</v>
      </c>
      <c r="G27" s="137"/>
      <c r="H27" s="137"/>
      <c r="I27" s="138"/>
      <c r="J27" s="128" t="s">
        <v>13</v>
      </c>
      <c r="K27" s="68" t="s">
        <v>31</v>
      </c>
      <c r="L27" s="112">
        <v>0</v>
      </c>
      <c r="M27" s="114">
        <f>SUMIFS(V27:AY27,V28:AY28,"")-L27</f>
        <v>0</v>
      </c>
      <c r="N27" s="15">
        <f>SUM(V27:AY27)</f>
        <v>8</v>
      </c>
      <c r="O27" s="16">
        <f>SUM(V28:AY28)</f>
        <v>8</v>
      </c>
      <c r="P27" s="16"/>
      <c r="Q27" s="17">
        <v>46113</v>
      </c>
      <c r="R27" s="17">
        <v>46113</v>
      </c>
      <c r="S27" s="18">
        <f>IF(N27=0,"",N27-O27)</f>
        <v>0</v>
      </c>
      <c r="T27" s="65">
        <f>IF(S27="","",IF(S27=0,1,IF(O27=0,"",O27/(O27+S27))))</f>
        <v>1</v>
      </c>
      <c r="U27" s="19" t="s">
        <v>6</v>
      </c>
      <c r="V27" s="20">
        <v>8</v>
      </c>
      <c r="W27" s="20"/>
      <c r="X27" s="20"/>
      <c r="Y27" s="76"/>
      <c r="Z27" s="76"/>
      <c r="AA27" s="20"/>
      <c r="AB27" s="20"/>
      <c r="AC27" s="20"/>
      <c r="AD27" s="20"/>
      <c r="AE27" s="20"/>
      <c r="AF27" s="76"/>
      <c r="AG27" s="76"/>
      <c r="AH27" s="76"/>
      <c r="AI27" s="76"/>
      <c r="AJ27" s="76"/>
      <c r="AK27" s="76"/>
      <c r="AL27" s="76"/>
      <c r="AM27" s="76"/>
      <c r="AN27" s="76"/>
      <c r="AO27" s="20"/>
      <c r="AP27" s="20"/>
      <c r="AQ27" s="20"/>
      <c r="AR27" s="20"/>
      <c r="AS27" s="20"/>
      <c r="AT27" s="108"/>
      <c r="AU27" s="108"/>
      <c r="AV27" s="20"/>
      <c r="AW27" s="20"/>
      <c r="AX27" s="20"/>
      <c r="AY27" s="20"/>
    </row>
    <row r="28" spans="2:51">
      <c r="B28" s="107"/>
      <c r="C28" s="160"/>
      <c r="D28" s="152"/>
      <c r="E28" s="163"/>
      <c r="F28" s="139"/>
      <c r="G28" s="139"/>
      <c r="H28" s="139"/>
      <c r="I28" s="140"/>
      <c r="J28" s="129"/>
      <c r="K28" s="69" t="str">
        <f>IF(K27="","",K27)</f>
        <v>Person2</v>
      </c>
      <c r="L28" s="21">
        <f t="shared" ref="L28" si="13">L27</f>
        <v>0</v>
      </c>
      <c r="M28" s="21">
        <f t="shared" ref="M28:N28" si="14">M27</f>
        <v>0</v>
      </c>
      <c r="N28" s="21">
        <f t="shared" si="14"/>
        <v>8</v>
      </c>
      <c r="O28" s="21">
        <f t="shared" ref="O28:P28" si="15">O27</f>
        <v>8</v>
      </c>
      <c r="P28" s="21">
        <f t="shared" si="15"/>
        <v>0</v>
      </c>
      <c r="Q28" s="17">
        <v>46113</v>
      </c>
      <c r="R28" s="17">
        <v>46113</v>
      </c>
      <c r="S28" s="67">
        <f>S27</f>
        <v>0</v>
      </c>
      <c r="T28" s="66">
        <f>T27</f>
        <v>1</v>
      </c>
      <c r="U28" s="23" t="s">
        <v>7</v>
      </c>
      <c r="V28" s="14">
        <v>8</v>
      </c>
      <c r="W28" s="14"/>
      <c r="X28" s="14"/>
      <c r="Y28" s="77"/>
      <c r="Z28" s="77"/>
      <c r="AA28" s="14"/>
      <c r="AB28" s="14"/>
      <c r="AC28" s="14"/>
      <c r="AD28" s="14"/>
      <c r="AE28" s="14"/>
      <c r="AF28" s="77"/>
      <c r="AG28" s="77"/>
      <c r="AH28" s="77"/>
      <c r="AI28" s="77"/>
      <c r="AJ28" s="77"/>
      <c r="AK28" s="77"/>
      <c r="AL28" s="77"/>
      <c r="AM28" s="77"/>
      <c r="AN28" s="77"/>
      <c r="AO28" s="14"/>
      <c r="AP28" s="14"/>
      <c r="AQ28" s="14"/>
      <c r="AR28" s="14"/>
      <c r="AS28" s="14"/>
      <c r="AT28" s="109"/>
      <c r="AU28" s="109"/>
      <c r="AV28" s="14"/>
      <c r="AW28" s="14"/>
      <c r="AX28" s="14"/>
      <c r="AY28" s="14"/>
    </row>
    <row r="29" spans="2:51" ht="14.25" customHeight="1">
      <c r="B29" s="106"/>
      <c r="C29" s="159"/>
      <c r="D29" s="155">
        <v>2.1</v>
      </c>
      <c r="E29" s="157"/>
      <c r="F29" s="137" t="s">
        <v>38</v>
      </c>
      <c r="G29" s="137"/>
      <c r="H29" s="137"/>
      <c r="I29" s="138"/>
      <c r="J29" s="128" t="s">
        <v>16</v>
      </c>
      <c r="K29" s="68" t="s">
        <v>30</v>
      </c>
      <c r="L29" s="112">
        <v>0</v>
      </c>
      <c r="M29" s="114">
        <f>SUMIFS(V29:AY29,V30:AY30,"")-L29</f>
        <v>0</v>
      </c>
      <c r="N29" s="15">
        <f>SUM(W29:AY29)</f>
        <v>2</v>
      </c>
      <c r="O29" s="16">
        <f>SUM(W30:AY30)</f>
        <v>2</v>
      </c>
      <c r="P29" s="16"/>
      <c r="Q29" s="17">
        <v>46114</v>
      </c>
      <c r="R29" s="17">
        <v>46114</v>
      </c>
      <c r="S29" s="18">
        <f>IF(N29=0,"",N29-O29)</f>
        <v>0</v>
      </c>
      <c r="T29" s="65">
        <f>IF(S29="","",IF(S29=0,1,IF(O29=0,"",O29/(O29+S29))))</f>
        <v>1</v>
      </c>
      <c r="U29" s="19" t="s">
        <v>6</v>
      </c>
      <c r="V29" s="20"/>
      <c r="W29" s="20">
        <v>2</v>
      </c>
      <c r="X29" s="20"/>
      <c r="Y29" s="76"/>
      <c r="Z29" s="76"/>
      <c r="AA29" s="20"/>
      <c r="AB29" s="20"/>
      <c r="AC29" s="20"/>
      <c r="AD29" s="20"/>
      <c r="AE29" s="20"/>
      <c r="AF29" s="76"/>
      <c r="AG29" s="76"/>
      <c r="AH29" s="76"/>
      <c r="AI29" s="76"/>
      <c r="AJ29" s="76"/>
      <c r="AK29" s="76"/>
      <c r="AL29" s="76"/>
      <c r="AM29" s="76"/>
      <c r="AN29" s="76"/>
      <c r="AO29" s="20"/>
      <c r="AP29" s="20"/>
      <c r="AQ29" s="20"/>
      <c r="AR29" s="20"/>
      <c r="AS29" s="20"/>
      <c r="AT29" s="108"/>
      <c r="AU29" s="108"/>
      <c r="AV29" s="20"/>
      <c r="AW29" s="20"/>
      <c r="AX29" s="20"/>
      <c r="AY29" s="20"/>
    </row>
    <row r="30" spans="2:51">
      <c r="B30" s="107"/>
      <c r="C30" s="160"/>
      <c r="D30" s="156"/>
      <c r="E30" s="158"/>
      <c r="F30" s="139"/>
      <c r="G30" s="139"/>
      <c r="H30" s="139"/>
      <c r="I30" s="140"/>
      <c r="J30" s="129"/>
      <c r="K30" s="69" t="str">
        <f>IF(K29="","",K29)</f>
        <v>Person1</v>
      </c>
      <c r="L30" s="113">
        <f t="shared" ref="L30:M30" si="16">L29</f>
        <v>0</v>
      </c>
      <c r="M30" s="21">
        <f t="shared" si="16"/>
        <v>0</v>
      </c>
      <c r="N30" s="21">
        <f t="shared" ref="N30:P30" si="17">N29</f>
        <v>2</v>
      </c>
      <c r="O30" s="21">
        <f t="shared" si="17"/>
        <v>2</v>
      </c>
      <c r="P30" s="21">
        <f t="shared" si="17"/>
        <v>0</v>
      </c>
      <c r="Q30" s="17">
        <v>46114</v>
      </c>
      <c r="R30" s="17">
        <v>46114</v>
      </c>
      <c r="S30" s="67">
        <f>S29</f>
        <v>0</v>
      </c>
      <c r="T30" s="66">
        <f>T29</f>
        <v>1</v>
      </c>
      <c r="U30" s="23" t="s">
        <v>7</v>
      </c>
      <c r="V30" s="14"/>
      <c r="W30" s="14">
        <v>2</v>
      </c>
      <c r="X30" s="14"/>
      <c r="Y30" s="77"/>
      <c r="Z30" s="77"/>
      <c r="AA30" s="14"/>
      <c r="AB30" s="14"/>
      <c r="AC30" s="14"/>
      <c r="AD30" s="14"/>
      <c r="AE30" s="14"/>
      <c r="AF30" s="77"/>
      <c r="AG30" s="77"/>
      <c r="AH30" s="77"/>
      <c r="AI30" s="77"/>
      <c r="AJ30" s="77"/>
      <c r="AK30" s="77"/>
      <c r="AL30" s="77"/>
      <c r="AM30" s="77"/>
      <c r="AN30" s="77"/>
      <c r="AO30" s="14"/>
      <c r="AP30" s="14"/>
      <c r="AQ30" s="14"/>
      <c r="AR30" s="14"/>
      <c r="AS30" s="14"/>
      <c r="AT30" s="109"/>
      <c r="AU30" s="109"/>
      <c r="AV30" s="14"/>
      <c r="AW30" s="14"/>
      <c r="AX30" s="14"/>
      <c r="AY30" s="14"/>
    </row>
    <row r="31" spans="2:51" ht="12.75" customHeight="1">
      <c r="B31" s="106"/>
      <c r="C31" s="159"/>
      <c r="D31" s="155">
        <v>2.2000000000000002</v>
      </c>
      <c r="E31" s="157"/>
      <c r="F31" s="137" t="s">
        <v>22</v>
      </c>
      <c r="G31" s="137"/>
      <c r="H31" s="137"/>
      <c r="I31" s="138"/>
      <c r="J31" s="128" t="s">
        <v>24</v>
      </c>
      <c r="K31" s="68" t="s">
        <v>31</v>
      </c>
      <c r="L31" s="112"/>
      <c r="M31" s="114">
        <f>SUMIFS(V31:AY31,V32:AY32,"")-L31</f>
        <v>0</v>
      </c>
      <c r="N31" s="15">
        <f>SUM(W31:AY31)</f>
        <v>6</v>
      </c>
      <c r="O31" s="16">
        <f>SUM(W32:AY32)</f>
        <v>6</v>
      </c>
      <c r="P31" s="16">
        <v>6</v>
      </c>
      <c r="Q31" s="17">
        <v>46114</v>
      </c>
      <c r="R31" s="17">
        <v>46114</v>
      </c>
      <c r="S31" s="18">
        <f>IF(N31=0,"",N31-O31)</f>
        <v>0</v>
      </c>
      <c r="T31" s="65">
        <f>IF(S31="","",IF(S31=0,1,IF(O31=0,"",O31/(O31+S31))))</f>
        <v>1</v>
      </c>
      <c r="U31" s="19" t="s">
        <v>6</v>
      </c>
      <c r="V31" s="20"/>
      <c r="W31" s="20">
        <v>6</v>
      </c>
      <c r="X31" s="20"/>
      <c r="Y31" s="76"/>
      <c r="Z31" s="76"/>
      <c r="AA31" s="20"/>
      <c r="AB31" s="20"/>
      <c r="AC31" s="20"/>
      <c r="AD31" s="20"/>
      <c r="AE31" s="20"/>
      <c r="AF31" s="76"/>
      <c r="AG31" s="76"/>
      <c r="AH31" s="76"/>
      <c r="AI31" s="76"/>
      <c r="AJ31" s="76"/>
      <c r="AK31" s="76"/>
      <c r="AL31" s="76"/>
      <c r="AM31" s="76"/>
      <c r="AN31" s="76"/>
      <c r="AO31" s="20"/>
      <c r="AP31" s="20"/>
      <c r="AQ31" s="20"/>
      <c r="AR31" s="20"/>
      <c r="AS31" s="20"/>
      <c r="AT31" s="108"/>
      <c r="AU31" s="108"/>
      <c r="AV31" s="20"/>
      <c r="AW31" s="20"/>
      <c r="AX31" s="20"/>
      <c r="AY31" s="20"/>
    </row>
    <row r="32" spans="2:51" ht="12.75" customHeight="1">
      <c r="B32" s="107"/>
      <c r="C32" s="160"/>
      <c r="D32" s="156"/>
      <c r="E32" s="158"/>
      <c r="F32" s="139"/>
      <c r="G32" s="139"/>
      <c r="H32" s="139"/>
      <c r="I32" s="140"/>
      <c r="J32" s="129"/>
      <c r="K32" s="69" t="str">
        <f t="shared" ref="K32" si="18">IF(K31="","",K31)</f>
        <v>Person2</v>
      </c>
      <c r="L32" s="113">
        <f t="shared" ref="L32:M32" si="19">L31</f>
        <v>0</v>
      </c>
      <c r="M32" s="21">
        <f t="shared" si="19"/>
        <v>0</v>
      </c>
      <c r="N32" s="21">
        <f t="shared" ref="N32:P32" si="20">N31</f>
        <v>6</v>
      </c>
      <c r="O32" s="21">
        <f t="shared" si="20"/>
        <v>6</v>
      </c>
      <c r="P32" s="21">
        <f t="shared" si="20"/>
        <v>6</v>
      </c>
      <c r="Q32" s="17">
        <v>46114</v>
      </c>
      <c r="R32" s="17">
        <v>46114</v>
      </c>
      <c r="S32" s="67">
        <f>S31</f>
        <v>0</v>
      </c>
      <c r="T32" s="66">
        <f>T31</f>
        <v>1</v>
      </c>
      <c r="U32" s="23" t="s">
        <v>7</v>
      </c>
      <c r="V32" s="14"/>
      <c r="W32" s="14">
        <v>6</v>
      </c>
      <c r="X32" s="14"/>
      <c r="Y32" s="77"/>
      <c r="Z32" s="77"/>
      <c r="AA32" s="14"/>
      <c r="AB32" s="14"/>
      <c r="AC32" s="14"/>
      <c r="AD32" s="14"/>
      <c r="AE32" s="14"/>
      <c r="AF32" s="77"/>
      <c r="AG32" s="77"/>
      <c r="AH32" s="77"/>
      <c r="AI32" s="77"/>
      <c r="AJ32" s="77"/>
      <c r="AK32" s="77"/>
      <c r="AL32" s="77"/>
      <c r="AM32" s="77"/>
      <c r="AN32" s="77"/>
      <c r="AO32" s="14"/>
      <c r="AP32" s="14"/>
      <c r="AQ32" s="14"/>
      <c r="AR32" s="14"/>
      <c r="AS32" s="14"/>
      <c r="AT32" s="109"/>
      <c r="AU32" s="109"/>
      <c r="AV32" s="14"/>
      <c r="AW32" s="14"/>
      <c r="AX32" s="14"/>
      <c r="AY32" s="14"/>
    </row>
    <row r="33" spans="2:51" ht="14.25" customHeight="1">
      <c r="B33" s="106"/>
      <c r="C33" s="159"/>
      <c r="D33" s="151">
        <v>2.2999999999999998</v>
      </c>
      <c r="E33" s="153"/>
      <c r="F33" s="137" t="s">
        <v>38</v>
      </c>
      <c r="G33" s="137"/>
      <c r="H33" s="137"/>
      <c r="I33" s="138"/>
      <c r="J33" s="136" t="s">
        <v>16</v>
      </c>
      <c r="K33" s="68" t="s">
        <v>30</v>
      </c>
      <c r="L33" s="16"/>
      <c r="M33" s="114">
        <f>SUMIFS(V33:AY33,V34:AY34,"")-L33</f>
        <v>0</v>
      </c>
      <c r="N33" s="15">
        <f>SUM(W33:AY33)</f>
        <v>2</v>
      </c>
      <c r="O33" s="16">
        <f>SUM(W34:AY34)</f>
        <v>2</v>
      </c>
      <c r="P33" s="16"/>
      <c r="Q33" s="17">
        <v>46115</v>
      </c>
      <c r="R33" s="17">
        <v>46115</v>
      </c>
      <c r="S33" s="18">
        <f>IF(N33=0,"",N33-O33)</f>
        <v>0</v>
      </c>
      <c r="T33" s="65">
        <f>IF(S33="","",IF(S33=0,1,IF(O33=0,"",O33/(O33+S33))))</f>
        <v>1</v>
      </c>
      <c r="U33" s="19" t="s">
        <v>6</v>
      </c>
      <c r="V33" s="20"/>
      <c r="W33" s="20"/>
      <c r="X33" s="20">
        <v>2</v>
      </c>
      <c r="Y33" s="76"/>
      <c r="Z33" s="76"/>
      <c r="AA33" s="20"/>
      <c r="AB33" s="20"/>
      <c r="AC33" s="20"/>
      <c r="AD33" s="20"/>
      <c r="AE33" s="20"/>
      <c r="AF33" s="76"/>
      <c r="AG33" s="76"/>
      <c r="AH33" s="76"/>
      <c r="AI33" s="76"/>
      <c r="AJ33" s="76"/>
      <c r="AK33" s="76"/>
      <c r="AL33" s="76"/>
      <c r="AM33" s="76"/>
      <c r="AN33" s="76"/>
      <c r="AO33" s="20"/>
      <c r="AP33" s="20"/>
      <c r="AQ33" s="20"/>
      <c r="AR33" s="20"/>
      <c r="AS33" s="20"/>
      <c r="AT33" s="108"/>
      <c r="AU33" s="108"/>
      <c r="AV33" s="20"/>
      <c r="AW33" s="20"/>
      <c r="AX33" s="20"/>
      <c r="AY33" s="20"/>
    </row>
    <row r="34" spans="2:51">
      <c r="B34" s="107"/>
      <c r="C34" s="160"/>
      <c r="D34" s="152"/>
      <c r="E34" s="154"/>
      <c r="F34" s="139"/>
      <c r="G34" s="139"/>
      <c r="H34" s="139"/>
      <c r="I34" s="140"/>
      <c r="J34" s="129"/>
      <c r="K34" s="69" t="str">
        <f t="shared" ref="K34" si="21">IF(K33="","",K33)</f>
        <v>Person1</v>
      </c>
      <c r="L34" s="21">
        <f t="shared" ref="L34:P34" si="22">L33</f>
        <v>0</v>
      </c>
      <c r="M34" s="21">
        <f t="shared" si="22"/>
        <v>0</v>
      </c>
      <c r="N34" s="21">
        <f t="shared" si="22"/>
        <v>2</v>
      </c>
      <c r="O34" s="21">
        <f t="shared" si="22"/>
        <v>2</v>
      </c>
      <c r="P34" s="21">
        <f t="shared" si="22"/>
        <v>0</v>
      </c>
      <c r="Q34" s="17">
        <v>46115</v>
      </c>
      <c r="R34" s="17">
        <v>46115</v>
      </c>
      <c r="S34" s="67">
        <f>S33</f>
        <v>0</v>
      </c>
      <c r="T34" s="66">
        <f>T33</f>
        <v>1</v>
      </c>
      <c r="U34" s="23" t="s">
        <v>7</v>
      </c>
      <c r="V34" s="14"/>
      <c r="W34" s="14"/>
      <c r="X34" s="14">
        <v>2</v>
      </c>
      <c r="Y34" s="77"/>
      <c r="Z34" s="77"/>
      <c r="AA34" s="14"/>
      <c r="AB34" s="14"/>
      <c r="AC34" s="14"/>
      <c r="AD34" s="14"/>
      <c r="AE34" s="14"/>
      <c r="AF34" s="77"/>
      <c r="AG34" s="77"/>
      <c r="AH34" s="77"/>
      <c r="AI34" s="77"/>
      <c r="AJ34" s="77"/>
      <c r="AK34" s="77"/>
      <c r="AL34" s="77"/>
      <c r="AM34" s="77"/>
      <c r="AN34" s="77"/>
      <c r="AO34" s="14"/>
      <c r="AP34" s="14"/>
      <c r="AQ34" s="14"/>
      <c r="AR34" s="14"/>
      <c r="AS34" s="14"/>
      <c r="AT34" s="109"/>
      <c r="AU34" s="109"/>
      <c r="AV34" s="14"/>
      <c r="AW34" s="14"/>
      <c r="AX34" s="14"/>
      <c r="AY34" s="14"/>
    </row>
    <row r="35" spans="2:51" ht="14.1" customHeight="1">
      <c r="B35" s="106"/>
      <c r="C35" s="161" t="s">
        <v>18</v>
      </c>
      <c r="D35" s="151"/>
      <c r="E35" s="162"/>
      <c r="F35" s="137" t="s">
        <v>39</v>
      </c>
      <c r="G35" s="137"/>
      <c r="H35" s="137"/>
      <c r="I35" s="138"/>
      <c r="J35" s="128" t="s">
        <v>13</v>
      </c>
      <c r="K35" s="68" t="s">
        <v>32</v>
      </c>
      <c r="L35" s="112"/>
      <c r="M35" s="114">
        <f>SUMIFS(V35:AY35,V36:AY36,"")-L35</f>
        <v>8</v>
      </c>
      <c r="N35" s="15">
        <f>SUM(W35:AY35)</f>
        <v>8</v>
      </c>
      <c r="O35" s="16">
        <f>SUM(W36:AY36)</f>
        <v>0</v>
      </c>
      <c r="P35" s="16"/>
      <c r="Q35" s="17">
        <v>46118</v>
      </c>
      <c r="R35" s="17">
        <v>46118</v>
      </c>
      <c r="S35" s="18">
        <f>IF(N35=0,"",N35-O35)</f>
        <v>8</v>
      </c>
      <c r="T35" s="65" t="str">
        <f>IF(S35="","",IF(S35=0,1,IF(O35=0,"",O35/(O35+S35))))</f>
        <v/>
      </c>
      <c r="U35" s="19" t="s">
        <v>6</v>
      </c>
      <c r="V35" s="20"/>
      <c r="W35" s="20"/>
      <c r="X35" s="20"/>
      <c r="Y35" s="76"/>
      <c r="Z35" s="76"/>
      <c r="AA35" s="20">
        <v>8</v>
      </c>
      <c r="AB35" s="20"/>
      <c r="AC35" s="20"/>
      <c r="AD35" s="20"/>
      <c r="AE35" s="20"/>
      <c r="AF35" s="76"/>
      <c r="AG35" s="76"/>
      <c r="AH35" s="76"/>
      <c r="AI35" s="76"/>
      <c r="AJ35" s="76"/>
      <c r="AK35" s="76"/>
      <c r="AL35" s="76"/>
      <c r="AM35" s="76"/>
      <c r="AN35" s="76"/>
      <c r="AO35" s="20"/>
      <c r="AP35" s="20"/>
      <c r="AQ35" s="20"/>
      <c r="AR35" s="20"/>
      <c r="AS35" s="20"/>
      <c r="AT35" s="108"/>
      <c r="AU35" s="108"/>
      <c r="AV35" s="20"/>
      <c r="AW35" s="20"/>
      <c r="AX35" s="20"/>
      <c r="AY35" s="20"/>
    </row>
    <row r="36" spans="2:51">
      <c r="B36" s="107"/>
      <c r="C36" s="160"/>
      <c r="D36" s="152"/>
      <c r="E36" s="163"/>
      <c r="F36" s="139"/>
      <c r="G36" s="139"/>
      <c r="H36" s="139"/>
      <c r="I36" s="140"/>
      <c r="J36" s="129"/>
      <c r="K36" s="69" t="str">
        <f>IF(K35="","",K35)</f>
        <v>Person3</v>
      </c>
      <c r="L36" s="21">
        <f t="shared" ref="L36:P36" si="23">L35</f>
        <v>0</v>
      </c>
      <c r="M36" s="21">
        <f t="shared" si="23"/>
        <v>8</v>
      </c>
      <c r="N36" s="21">
        <f t="shared" si="23"/>
        <v>8</v>
      </c>
      <c r="O36" s="21">
        <f t="shared" si="23"/>
        <v>0</v>
      </c>
      <c r="P36" s="21">
        <f t="shared" si="23"/>
        <v>0</v>
      </c>
      <c r="Q36" s="17"/>
      <c r="R36" s="17"/>
      <c r="S36" s="67">
        <f>S35</f>
        <v>8</v>
      </c>
      <c r="T36" s="66" t="str">
        <f>T35</f>
        <v/>
      </c>
      <c r="U36" s="23" t="s">
        <v>7</v>
      </c>
      <c r="V36" s="14"/>
      <c r="W36" s="14"/>
      <c r="X36" s="14"/>
      <c r="Y36" s="77"/>
      <c r="Z36" s="77"/>
      <c r="AA36" s="14"/>
      <c r="AB36" s="14"/>
      <c r="AC36" s="14"/>
      <c r="AD36" s="14"/>
      <c r="AE36" s="14"/>
      <c r="AF36" s="77"/>
      <c r="AG36" s="77"/>
      <c r="AH36" s="77"/>
      <c r="AI36" s="77"/>
      <c r="AJ36" s="77"/>
      <c r="AK36" s="77"/>
      <c r="AL36" s="77"/>
      <c r="AM36" s="77"/>
      <c r="AN36" s="77"/>
      <c r="AO36" s="14"/>
      <c r="AP36" s="14"/>
      <c r="AQ36" s="14"/>
      <c r="AR36" s="14"/>
      <c r="AS36" s="14"/>
      <c r="AT36" s="109"/>
      <c r="AU36" s="109"/>
      <c r="AV36" s="14"/>
      <c r="AW36" s="14"/>
      <c r="AX36" s="14"/>
      <c r="AY36" s="14"/>
    </row>
    <row r="37" spans="2:51" ht="14.25" customHeight="1">
      <c r="B37" s="106"/>
      <c r="C37" s="159"/>
      <c r="D37" s="155">
        <v>3.1</v>
      </c>
      <c r="E37" s="157"/>
      <c r="F37" s="137" t="s">
        <v>38</v>
      </c>
      <c r="G37" s="137"/>
      <c r="H37" s="137"/>
      <c r="I37" s="138"/>
      <c r="J37" s="128" t="s">
        <v>16</v>
      </c>
      <c r="K37" s="68" t="s">
        <v>33</v>
      </c>
      <c r="L37" s="112"/>
      <c r="M37" s="114">
        <f>SUMIFS(V37:AY37,V38:AY38,"")-L37</f>
        <v>2</v>
      </c>
      <c r="N37" s="15">
        <f>SUM(W37:AY37)</f>
        <v>2</v>
      </c>
      <c r="O37" s="16">
        <f>SUM(W38:AY38)</f>
        <v>0</v>
      </c>
      <c r="P37" s="16"/>
      <c r="Q37" s="17">
        <v>46119</v>
      </c>
      <c r="R37" s="17">
        <v>46119</v>
      </c>
      <c r="S37" s="18">
        <f>IF(N37=0,"",N37-O37)</f>
        <v>2</v>
      </c>
      <c r="T37" s="65" t="str">
        <f>IF(S37="","",IF(S37=0,1,IF(O37=0,"",O37/(O37+S37))))</f>
        <v/>
      </c>
      <c r="U37" s="19" t="s">
        <v>6</v>
      </c>
      <c r="V37" s="20"/>
      <c r="W37" s="20"/>
      <c r="X37" s="20"/>
      <c r="Y37" s="76"/>
      <c r="Z37" s="76"/>
      <c r="AA37" s="20"/>
      <c r="AB37" s="20">
        <v>2</v>
      </c>
      <c r="AC37" s="20"/>
      <c r="AD37" s="20"/>
      <c r="AE37" s="20"/>
      <c r="AF37" s="76"/>
      <c r="AG37" s="76"/>
      <c r="AH37" s="76"/>
      <c r="AI37" s="76"/>
      <c r="AJ37" s="76"/>
      <c r="AK37" s="76"/>
      <c r="AL37" s="76"/>
      <c r="AM37" s="76"/>
      <c r="AN37" s="76"/>
      <c r="AO37" s="20"/>
      <c r="AP37" s="20"/>
      <c r="AQ37" s="20"/>
      <c r="AR37" s="20"/>
      <c r="AS37" s="20"/>
      <c r="AT37" s="108"/>
      <c r="AU37" s="108"/>
      <c r="AV37" s="20"/>
      <c r="AW37" s="20"/>
      <c r="AX37" s="20"/>
      <c r="AY37" s="20"/>
    </row>
    <row r="38" spans="2:51">
      <c r="B38" s="107"/>
      <c r="C38" s="160"/>
      <c r="D38" s="156"/>
      <c r="E38" s="158"/>
      <c r="F38" s="139"/>
      <c r="G38" s="139"/>
      <c r="H38" s="139"/>
      <c r="I38" s="140"/>
      <c r="J38" s="129"/>
      <c r="K38" s="69" t="str">
        <f>IF(K37="","",K37)</f>
        <v>Person4</v>
      </c>
      <c r="L38" s="113">
        <f t="shared" ref="L38:O38" si="24">L37</f>
        <v>0</v>
      </c>
      <c r="M38" s="21">
        <f t="shared" si="24"/>
        <v>2</v>
      </c>
      <c r="N38" s="21">
        <f t="shared" si="24"/>
        <v>2</v>
      </c>
      <c r="O38" s="21">
        <f t="shared" si="24"/>
        <v>0</v>
      </c>
      <c r="P38" s="21"/>
      <c r="Q38" s="22"/>
      <c r="R38" s="13"/>
      <c r="S38" s="67">
        <f>S37</f>
        <v>2</v>
      </c>
      <c r="T38" s="66" t="str">
        <f>T37</f>
        <v/>
      </c>
      <c r="U38" s="23" t="s">
        <v>7</v>
      </c>
      <c r="V38" s="14"/>
      <c r="W38" s="14"/>
      <c r="X38" s="14"/>
      <c r="Y38" s="77"/>
      <c r="Z38" s="77"/>
      <c r="AA38" s="14"/>
      <c r="AB38" s="14"/>
      <c r="AC38" s="14"/>
      <c r="AD38" s="14"/>
      <c r="AE38" s="14"/>
      <c r="AF38" s="77"/>
      <c r="AG38" s="77"/>
      <c r="AH38" s="77"/>
      <c r="AI38" s="77"/>
      <c r="AJ38" s="77"/>
      <c r="AK38" s="77"/>
      <c r="AL38" s="77"/>
      <c r="AM38" s="77"/>
      <c r="AN38" s="77"/>
      <c r="AO38" s="14"/>
      <c r="AP38" s="14"/>
      <c r="AQ38" s="14"/>
      <c r="AR38" s="14"/>
      <c r="AS38" s="14"/>
      <c r="AT38" s="109"/>
      <c r="AU38" s="109"/>
      <c r="AV38" s="14"/>
      <c r="AW38" s="14"/>
      <c r="AX38" s="14"/>
      <c r="AY38" s="14"/>
    </row>
    <row r="39" spans="2:51" ht="12.75" customHeight="1">
      <c r="B39" s="106"/>
      <c r="C39" s="159"/>
      <c r="D39" s="155">
        <v>3.2</v>
      </c>
      <c r="E39" s="157"/>
      <c r="F39" s="137" t="s">
        <v>22</v>
      </c>
      <c r="G39" s="137"/>
      <c r="H39" s="137"/>
      <c r="I39" s="138"/>
      <c r="J39" s="128" t="s">
        <v>24</v>
      </c>
      <c r="K39" s="68" t="s">
        <v>32</v>
      </c>
      <c r="L39" s="112"/>
      <c r="M39" s="114">
        <f>SUMIFS(V39:AY39,V40:AY40,"")-L39</f>
        <v>6</v>
      </c>
      <c r="N39" s="15">
        <f>SUM(W39:AY39)</f>
        <v>6</v>
      </c>
      <c r="O39" s="16">
        <f>SUM(W40:AY40)</f>
        <v>0</v>
      </c>
      <c r="P39" s="16"/>
      <c r="Q39" s="17">
        <v>46119</v>
      </c>
      <c r="R39" s="17">
        <v>46119</v>
      </c>
      <c r="S39" s="18">
        <f>IF(N39=0,"",N39-O39)</f>
        <v>6</v>
      </c>
      <c r="T39" s="65" t="str">
        <f>IF(S39="","",IF(S39=0,1,IF(O39=0,"",O39/(O39+S39))))</f>
        <v/>
      </c>
      <c r="U39" s="19" t="s">
        <v>6</v>
      </c>
      <c r="V39" s="20"/>
      <c r="W39" s="20"/>
      <c r="X39" s="20"/>
      <c r="Y39" s="76"/>
      <c r="Z39" s="76"/>
      <c r="AA39" s="20"/>
      <c r="AB39" s="20">
        <v>6</v>
      </c>
      <c r="AC39" s="20"/>
      <c r="AD39" s="20"/>
      <c r="AE39" s="20"/>
      <c r="AF39" s="76"/>
      <c r="AG39" s="76"/>
      <c r="AH39" s="76"/>
      <c r="AI39" s="76"/>
      <c r="AJ39" s="76"/>
      <c r="AK39" s="76"/>
      <c r="AL39" s="76"/>
      <c r="AM39" s="76"/>
      <c r="AN39" s="76"/>
      <c r="AO39" s="20"/>
      <c r="AP39" s="20"/>
      <c r="AQ39" s="20"/>
      <c r="AR39" s="20"/>
      <c r="AS39" s="20"/>
      <c r="AT39" s="108"/>
      <c r="AU39" s="108"/>
      <c r="AV39" s="20"/>
      <c r="AW39" s="20"/>
      <c r="AX39" s="20"/>
      <c r="AY39" s="20"/>
    </row>
    <row r="40" spans="2:51" ht="12.75" customHeight="1">
      <c r="B40" s="107"/>
      <c r="C40" s="160"/>
      <c r="D40" s="156"/>
      <c r="E40" s="158"/>
      <c r="F40" s="139"/>
      <c r="G40" s="139"/>
      <c r="H40" s="139"/>
      <c r="I40" s="140"/>
      <c r="J40" s="129"/>
      <c r="K40" s="69" t="str">
        <f t="shared" ref="K40" si="25">IF(K39="","",K39)</f>
        <v>Person3</v>
      </c>
      <c r="L40" s="113">
        <f t="shared" ref="L40:P40" si="26">L39</f>
        <v>0</v>
      </c>
      <c r="M40" s="21">
        <f t="shared" si="26"/>
        <v>6</v>
      </c>
      <c r="N40" s="21">
        <f t="shared" si="26"/>
        <v>6</v>
      </c>
      <c r="O40" s="21">
        <f t="shared" si="26"/>
        <v>0</v>
      </c>
      <c r="P40" s="21">
        <f t="shared" si="26"/>
        <v>0</v>
      </c>
      <c r="Q40" s="22"/>
      <c r="R40" s="13"/>
      <c r="S40" s="67">
        <f>S39</f>
        <v>6</v>
      </c>
      <c r="T40" s="66" t="str">
        <f>T39</f>
        <v/>
      </c>
      <c r="U40" s="23" t="s">
        <v>7</v>
      </c>
      <c r="V40" s="14"/>
      <c r="W40" s="14"/>
      <c r="X40" s="14"/>
      <c r="Y40" s="77"/>
      <c r="Z40" s="77"/>
      <c r="AA40" s="14"/>
      <c r="AB40" s="14"/>
      <c r="AC40" s="14"/>
      <c r="AD40" s="14"/>
      <c r="AE40" s="14"/>
      <c r="AF40" s="77"/>
      <c r="AG40" s="77"/>
      <c r="AH40" s="77"/>
      <c r="AI40" s="77"/>
      <c r="AJ40" s="77"/>
      <c r="AK40" s="77"/>
      <c r="AL40" s="77"/>
      <c r="AM40" s="77"/>
      <c r="AN40" s="77"/>
      <c r="AO40" s="14"/>
      <c r="AP40" s="14"/>
      <c r="AQ40" s="14"/>
      <c r="AR40" s="14"/>
      <c r="AS40" s="14"/>
      <c r="AT40" s="109"/>
      <c r="AU40" s="109"/>
      <c r="AV40" s="14"/>
      <c r="AW40" s="14"/>
      <c r="AX40" s="14"/>
      <c r="AY40" s="14"/>
    </row>
    <row r="41" spans="2:51" ht="14.25" customHeight="1">
      <c r="B41" s="106"/>
      <c r="C41" s="159"/>
      <c r="D41" s="155">
        <v>3.3</v>
      </c>
      <c r="E41" s="153"/>
      <c r="F41" s="137" t="s">
        <v>38</v>
      </c>
      <c r="G41" s="137"/>
      <c r="H41" s="137"/>
      <c r="I41" s="138"/>
      <c r="J41" s="136" t="s">
        <v>16</v>
      </c>
      <c r="K41" s="68" t="s">
        <v>33</v>
      </c>
      <c r="L41" s="16"/>
      <c r="M41" s="114">
        <f>SUMIFS(V41:AY41,V42:AY42,"")-L41</f>
        <v>2</v>
      </c>
      <c r="N41" s="15">
        <f>SUM(W41:AY41)</f>
        <v>2</v>
      </c>
      <c r="O41" s="16">
        <f>SUM(W42:AY42)</f>
        <v>0</v>
      </c>
      <c r="P41" s="16"/>
      <c r="Q41" s="17">
        <v>46120</v>
      </c>
      <c r="R41" s="17">
        <v>46120</v>
      </c>
      <c r="S41" s="18">
        <f>IF(N41=0,"",N41-O41)</f>
        <v>2</v>
      </c>
      <c r="T41" s="65" t="str">
        <f>IF(S41="","",IF(S41=0,1,IF(O41=0,"",O41/(O41+S41))))</f>
        <v/>
      </c>
      <c r="U41" s="19" t="s">
        <v>6</v>
      </c>
      <c r="V41" s="20"/>
      <c r="W41" s="20"/>
      <c r="X41" s="20"/>
      <c r="Y41" s="76"/>
      <c r="Z41" s="76"/>
      <c r="AA41" s="20"/>
      <c r="AB41" s="20"/>
      <c r="AC41" s="20">
        <v>2</v>
      </c>
      <c r="AD41" s="20"/>
      <c r="AE41" s="20"/>
      <c r="AF41" s="76"/>
      <c r="AG41" s="76"/>
      <c r="AH41" s="76"/>
      <c r="AI41" s="76"/>
      <c r="AJ41" s="76"/>
      <c r="AK41" s="76"/>
      <c r="AL41" s="76"/>
      <c r="AM41" s="76"/>
      <c r="AN41" s="76"/>
      <c r="AO41" s="20"/>
      <c r="AP41" s="20"/>
      <c r="AQ41" s="20"/>
      <c r="AR41" s="20"/>
      <c r="AS41" s="20"/>
      <c r="AT41" s="108"/>
      <c r="AU41" s="108"/>
      <c r="AV41" s="20"/>
      <c r="AW41" s="20"/>
      <c r="AX41" s="20"/>
      <c r="AY41" s="20"/>
    </row>
    <row r="42" spans="2:51">
      <c r="B42" s="107"/>
      <c r="C42" s="160"/>
      <c r="D42" s="156"/>
      <c r="E42" s="154"/>
      <c r="F42" s="139"/>
      <c r="G42" s="139"/>
      <c r="H42" s="139"/>
      <c r="I42" s="140"/>
      <c r="J42" s="129"/>
      <c r="K42" s="69" t="str">
        <f t="shared" ref="K42" si="27">IF(K41="","",K41)</f>
        <v>Person4</v>
      </c>
      <c r="L42" s="21">
        <f t="shared" ref="L42:P42" si="28">L41</f>
        <v>0</v>
      </c>
      <c r="M42" s="21">
        <f t="shared" si="28"/>
        <v>2</v>
      </c>
      <c r="N42" s="21">
        <f t="shared" si="28"/>
        <v>2</v>
      </c>
      <c r="O42" s="21">
        <f t="shared" si="28"/>
        <v>0</v>
      </c>
      <c r="P42" s="21">
        <f t="shared" si="28"/>
        <v>0</v>
      </c>
      <c r="Q42" s="22"/>
      <c r="R42" s="13"/>
      <c r="S42" s="67">
        <f>S41</f>
        <v>2</v>
      </c>
      <c r="T42" s="66" t="str">
        <f>T41</f>
        <v/>
      </c>
      <c r="U42" s="23" t="s">
        <v>7</v>
      </c>
      <c r="V42" s="14"/>
      <c r="W42" s="14"/>
      <c r="X42" s="14"/>
      <c r="Y42" s="77"/>
      <c r="Z42" s="77"/>
      <c r="AA42" s="14"/>
      <c r="AB42" s="14"/>
      <c r="AC42" s="14"/>
      <c r="AD42" s="14"/>
      <c r="AE42" s="14"/>
      <c r="AF42" s="77"/>
      <c r="AG42" s="77"/>
      <c r="AH42" s="77"/>
      <c r="AI42" s="77"/>
      <c r="AJ42" s="77"/>
      <c r="AK42" s="77"/>
      <c r="AL42" s="77"/>
      <c r="AM42" s="77"/>
      <c r="AN42" s="77"/>
      <c r="AO42" s="14"/>
      <c r="AP42" s="14"/>
      <c r="AQ42" s="14"/>
      <c r="AR42" s="14"/>
      <c r="AS42" s="14"/>
      <c r="AT42" s="109"/>
      <c r="AU42" s="109"/>
      <c r="AV42" s="14"/>
      <c r="AW42" s="14"/>
      <c r="AX42" s="14"/>
      <c r="AY42" s="14"/>
    </row>
    <row r="43" spans="2:51" ht="14.1" customHeight="1">
      <c r="B43" s="106"/>
      <c r="C43" s="161" t="s">
        <v>19</v>
      </c>
      <c r="D43" s="151"/>
      <c r="E43" s="162"/>
      <c r="F43" s="137" t="s">
        <v>41</v>
      </c>
      <c r="G43" s="137"/>
      <c r="H43" s="137"/>
      <c r="I43" s="138"/>
      <c r="J43" s="128" t="s">
        <v>13</v>
      </c>
      <c r="K43" s="68" t="s">
        <v>35</v>
      </c>
      <c r="L43" s="112"/>
      <c r="M43" s="114">
        <f>SUMIFS(V43:AY43,V44:AY44,"")-L43</f>
        <v>8</v>
      </c>
      <c r="N43" s="15">
        <f>SUM(W43:AY43)</f>
        <v>8</v>
      </c>
      <c r="O43" s="16">
        <f>SUM(W44:AY44)</f>
        <v>0</v>
      </c>
      <c r="P43" s="16"/>
      <c r="Q43" s="17">
        <v>46119</v>
      </c>
      <c r="R43" s="17">
        <v>46119</v>
      </c>
      <c r="S43" s="18">
        <f>IF(N43=0,"",N43-O43)</f>
        <v>8</v>
      </c>
      <c r="T43" s="65" t="str">
        <f>IF(S43="","",IF(S43=0,1,IF(O43=0,"",O43/(O43+S43))))</f>
        <v/>
      </c>
      <c r="U43" s="19" t="s">
        <v>6</v>
      </c>
      <c r="V43" s="20"/>
      <c r="W43" s="20"/>
      <c r="X43" s="20"/>
      <c r="Y43" s="76"/>
      <c r="Z43" s="76"/>
      <c r="AA43" s="20"/>
      <c r="AB43" s="20">
        <v>8</v>
      </c>
      <c r="AC43" s="20"/>
      <c r="AD43" s="20"/>
      <c r="AE43" s="20"/>
      <c r="AF43" s="76"/>
      <c r="AG43" s="76"/>
      <c r="AH43" s="76"/>
      <c r="AI43" s="76"/>
      <c r="AJ43" s="76"/>
      <c r="AK43" s="76"/>
      <c r="AL43" s="76"/>
      <c r="AM43" s="76"/>
      <c r="AN43" s="76"/>
      <c r="AO43" s="20"/>
      <c r="AP43" s="20"/>
      <c r="AQ43" s="20"/>
      <c r="AR43" s="20"/>
      <c r="AS43" s="20"/>
      <c r="AT43" s="108"/>
      <c r="AU43" s="108"/>
      <c r="AV43" s="20"/>
      <c r="AW43" s="20"/>
      <c r="AX43" s="20"/>
      <c r="AY43" s="20"/>
    </row>
    <row r="44" spans="2:51">
      <c r="B44" s="107"/>
      <c r="C44" s="160"/>
      <c r="D44" s="152"/>
      <c r="E44" s="163"/>
      <c r="F44" s="139"/>
      <c r="G44" s="139"/>
      <c r="H44" s="139"/>
      <c r="I44" s="140"/>
      <c r="J44" s="129"/>
      <c r="K44" s="69" t="str">
        <f>IF(K43="","",K43)</f>
        <v>Person6</v>
      </c>
      <c r="L44" s="21">
        <f t="shared" ref="L44:P44" si="29">L43</f>
        <v>0</v>
      </c>
      <c r="M44" s="21">
        <f t="shared" si="29"/>
        <v>8</v>
      </c>
      <c r="N44" s="21">
        <f t="shared" si="29"/>
        <v>8</v>
      </c>
      <c r="O44" s="21">
        <f t="shared" si="29"/>
        <v>0</v>
      </c>
      <c r="P44" s="21">
        <f t="shared" si="29"/>
        <v>0</v>
      </c>
      <c r="Q44" s="22"/>
      <c r="R44" s="13"/>
      <c r="S44" s="67">
        <f>S43</f>
        <v>8</v>
      </c>
      <c r="T44" s="66" t="str">
        <f>T43</f>
        <v/>
      </c>
      <c r="U44" s="23" t="s">
        <v>7</v>
      </c>
      <c r="V44" s="14"/>
      <c r="W44" s="14"/>
      <c r="X44" s="14"/>
      <c r="Y44" s="77"/>
      <c r="Z44" s="77"/>
      <c r="AA44" s="14"/>
      <c r="AB44" s="14"/>
      <c r="AC44" s="14"/>
      <c r="AD44" s="14"/>
      <c r="AE44" s="14"/>
      <c r="AF44" s="77"/>
      <c r="AG44" s="77"/>
      <c r="AH44" s="77"/>
      <c r="AI44" s="77"/>
      <c r="AJ44" s="77"/>
      <c r="AK44" s="77"/>
      <c r="AL44" s="77"/>
      <c r="AM44" s="77"/>
      <c r="AN44" s="77"/>
      <c r="AO44" s="14"/>
      <c r="AP44" s="14"/>
      <c r="AQ44" s="14"/>
      <c r="AR44" s="14"/>
      <c r="AS44" s="14"/>
      <c r="AT44" s="109"/>
      <c r="AU44" s="109"/>
      <c r="AV44" s="14"/>
      <c r="AW44" s="14"/>
      <c r="AX44" s="14"/>
      <c r="AY44" s="14"/>
    </row>
    <row r="45" spans="2:51" ht="14.25" customHeight="1">
      <c r="B45" s="106"/>
      <c r="C45" s="159"/>
      <c r="D45" s="155">
        <v>3.1</v>
      </c>
      <c r="E45" s="157"/>
      <c r="F45" s="137" t="s">
        <v>38</v>
      </c>
      <c r="G45" s="137"/>
      <c r="H45" s="137"/>
      <c r="I45" s="138"/>
      <c r="J45" s="128" t="s">
        <v>16</v>
      </c>
      <c r="K45" s="68" t="s">
        <v>34</v>
      </c>
      <c r="L45" s="112"/>
      <c r="M45" s="114">
        <f>SUMIFS(V45:AY45,V46:AY46,"")-L45</f>
        <v>2</v>
      </c>
      <c r="N45" s="15">
        <f>SUM(W45:AY45)</f>
        <v>2</v>
      </c>
      <c r="O45" s="16">
        <f>SUM(W46:AY46)</f>
        <v>0</v>
      </c>
      <c r="P45" s="16"/>
      <c r="Q45" s="17">
        <v>46120</v>
      </c>
      <c r="R45" s="17">
        <v>46120</v>
      </c>
      <c r="S45" s="18">
        <f>IF(N45=0,"",N45-O45)</f>
        <v>2</v>
      </c>
      <c r="T45" s="65" t="str">
        <f>IF(S45="","",IF(S45=0,1,IF(O45=0,"",O45/(O45+S45))))</f>
        <v/>
      </c>
      <c r="U45" s="19" t="s">
        <v>6</v>
      </c>
      <c r="V45" s="20"/>
      <c r="W45" s="20"/>
      <c r="X45" s="20"/>
      <c r="Y45" s="76"/>
      <c r="Z45" s="76"/>
      <c r="AA45" s="20"/>
      <c r="AB45" s="20"/>
      <c r="AC45" s="20">
        <v>2</v>
      </c>
      <c r="AD45" s="20"/>
      <c r="AE45" s="20"/>
      <c r="AF45" s="76"/>
      <c r="AG45" s="76"/>
      <c r="AH45" s="76"/>
      <c r="AI45" s="76"/>
      <c r="AJ45" s="76"/>
      <c r="AK45" s="76"/>
      <c r="AL45" s="76"/>
      <c r="AM45" s="76"/>
      <c r="AN45" s="76"/>
      <c r="AO45" s="20"/>
      <c r="AP45" s="20"/>
      <c r="AQ45" s="20"/>
      <c r="AR45" s="20"/>
      <c r="AS45" s="20"/>
      <c r="AT45" s="108"/>
      <c r="AU45" s="108"/>
      <c r="AV45" s="20"/>
      <c r="AW45" s="20"/>
      <c r="AX45" s="20"/>
      <c r="AY45" s="20"/>
    </row>
    <row r="46" spans="2:51">
      <c r="B46" s="107"/>
      <c r="C46" s="160"/>
      <c r="D46" s="156"/>
      <c r="E46" s="158"/>
      <c r="F46" s="139"/>
      <c r="G46" s="139"/>
      <c r="H46" s="139"/>
      <c r="I46" s="140"/>
      <c r="J46" s="129"/>
      <c r="K46" s="69" t="str">
        <f>IF(K45="","",K45)</f>
        <v>Person5</v>
      </c>
      <c r="L46" s="113">
        <f t="shared" ref="L46:P46" si="30">L45</f>
        <v>0</v>
      </c>
      <c r="M46" s="21">
        <f t="shared" si="30"/>
        <v>2</v>
      </c>
      <c r="N46" s="21">
        <f t="shared" si="30"/>
        <v>2</v>
      </c>
      <c r="O46" s="21">
        <f t="shared" si="30"/>
        <v>0</v>
      </c>
      <c r="P46" s="21">
        <f t="shared" si="30"/>
        <v>0</v>
      </c>
      <c r="Q46" s="22"/>
      <c r="R46" s="13"/>
      <c r="S46" s="67">
        <f>S45</f>
        <v>2</v>
      </c>
      <c r="T46" s="66" t="str">
        <f>T45</f>
        <v/>
      </c>
      <c r="U46" s="23" t="s">
        <v>7</v>
      </c>
      <c r="V46" s="14"/>
      <c r="W46" s="14"/>
      <c r="X46" s="14"/>
      <c r="Y46" s="77"/>
      <c r="Z46" s="77"/>
      <c r="AA46" s="14"/>
      <c r="AB46" s="14"/>
      <c r="AC46" s="14"/>
      <c r="AD46" s="14"/>
      <c r="AE46" s="14"/>
      <c r="AF46" s="77"/>
      <c r="AG46" s="77"/>
      <c r="AH46" s="77"/>
      <c r="AI46" s="77"/>
      <c r="AJ46" s="77"/>
      <c r="AK46" s="77"/>
      <c r="AL46" s="77"/>
      <c r="AM46" s="77"/>
      <c r="AN46" s="77"/>
      <c r="AO46" s="14"/>
      <c r="AP46" s="14"/>
      <c r="AQ46" s="14"/>
      <c r="AR46" s="14"/>
      <c r="AS46" s="14"/>
      <c r="AT46" s="109"/>
      <c r="AU46" s="109"/>
      <c r="AV46" s="14"/>
      <c r="AW46" s="14"/>
      <c r="AX46" s="14"/>
      <c r="AY46" s="14"/>
    </row>
    <row r="47" spans="2:51" ht="12.75" customHeight="1">
      <c r="B47" s="106"/>
      <c r="C47" s="159"/>
      <c r="D47" s="155">
        <v>3.2</v>
      </c>
      <c r="E47" s="157"/>
      <c r="F47" s="137" t="s">
        <v>22</v>
      </c>
      <c r="G47" s="137"/>
      <c r="H47" s="137"/>
      <c r="I47" s="138"/>
      <c r="J47" s="128" t="s">
        <v>24</v>
      </c>
      <c r="K47" s="68" t="s">
        <v>35</v>
      </c>
      <c r="L47" s="112"/>
      <c r="M47" s="114">
        <f>SUMIFS(V47:AY47,V48:AY48,"")-L47</f>
        <v>6</v>
      </c>
      <c r="N47" s="15">
        <f>SUM(W47:AY47)</f>
        <v>6</v>
      </c>
      <c r="O47" s="16">
        <f>SUM(W48:AY48)</f>
        <v>0</v>
      </c>
      <c r="P47" s="16"/>
      <c r="Q47" s="17">
        <v>46120</v>
      </c>
      <c r="R47" s="17">
        <v>46120</v>
      </c>
      <c r="S47" s="18">
        <f>IF(N47=0,"",N47-O47)</f>
        <v>6</v>
      </c>
      <c r="T47" s="65" t="str">
        <f>IF(S47="","",IF(S47=0,1,IF(O47=0,"",O47/(O47+S47))))</f>
        <v/>
      </c>
      <c r="U47" s="19" t="s">
        <v>6</v>
      </c>
      <c r="V47" s="20"/>
      <c r="W47" s="20"/>
      <c r="X47" s="20"/>
      <c r="Y47" s="76"/>
      <c r="Z47" s="76"/>
      <c r="AA47" s="20"/>
      <c r="AB47" s="20"/>
      <c r="AC47" s="20">
        <v>6</v>
      </c>
      <c r="AD47" s="20"/>
      <c r="AE47" s="20"/>
      <c r="AF47" s="76"/>
      <c r="AG47" s="76"/>
      <c r="AH47" s="76"/>
      <c r="AI47" s="76"/>
      <c r="AJ47" s="76"/>
      <c r="AK47" s="76"/>
      <c r="AL47" s="76"/>
      <c r="AM47" s="76"/>
      <c r="AN47" s="76"/>
      <c r="AO47" s="20"/>
      <c r="AP47" s="20"/>
      <c r="AQ47" s="20"/>
      <c r="AR47" s="20"/>
      <c r="AS47" s="20"/>
      <c r="AT47" s="108"/>
      <c r="AU47" s="108"/>
      <c r="AV47" s="20"/>
      <c r="AW47" s="20"/>
      <c r="AX47" s="20"/>
      <c r="AY47" s="20"/>
    </row>
    <row r="48" spans="2:51" ht="12.75" customHeight="1">
      <c r="B48" s="107"/>
      <c r="C48" s="160"/>
      <c r="D48" s="156"/>
      <c r="E48" s="158"/>
      <c r="F48" s="139"/>
      <c r="G48" s="139"/>
      <c r="H48" s="139"/>
      <c r="I48" s="140"/>
      <c r="J48" s="129"/>
      <c r="K48" s="69" t="str">
        <f t="shared" ref="K48" si="31">IF(K47="","",K47)</f>
        <v>Person6</v>
      </c>
      <c r="L48" s="113">
        <f t="shared" ref="L48:P48" si="32">L47</f>
        <v>0</v>
      </c>
      <c r="M48" s="21">
        <f t="shared" si="32"/>
        <v>6</v>
      </c>
      <c r="N48" s="21">
        <f t="shared" si="32"/>
        <v>6</v>
      </c>
      <c r="O48" s="21">
        <f t="shared" si="32"/>
        <v>0</v>
      </c>
      <c r="P48" s="21">
        <f t="shared" si="32"/>
        <v>0</v>
      </c>
      <c r="Q48" s="22"/>
      <c r="R48" s="13"/>
      <c r="S48" s="67">
        <f>S47</f>
        <v>6</v>
      </c>
      <c r="T48" s="66" t="str">
        <f>T47</f>
        <v/>
      </c>
      <c r="U48" s="23" t="s">
        <v>7</v>
      </c>
      <c r="V48" s="14"/>
      <c r="W48" s="14"/>
      <c r="X48" s="14"/>
      <c r="Y48" s="77"/>
      <c r="Z48" s="77"/>
      <c r="AA48" s="14"/>
      <c r="AB48" s="14"/>
      <c r="AC48" s="14"/>
      <c r="AD48" s="14"/>
      <c r="AE48" s="14"/>
      <c r="AF48" s="77"/>
      <c r="AG48" s="77"/>
      <c r="AH48" s="77"/>
      <c r="AI48" s="77"/>
      <c r="AJ48" s="77"/>
      <c r="AK48" s="77"/>
      <c r="AL48" s="77"/>
      <c r="AM48" s="77"/>
      <c r="AN48" s="77"/>
      <c r="AO48" s="14"/>
      <c r="AP48" s="14"/>
      <c r="AQ48" s="14"/>
      <c r="AR48" s="14"/>
      <c r="AS48" s="14"/>
      <c r="AT48" s="109"/>
      <c r="AU48" s="109"/>
      <c r="AV48" s="14"/>
      <c r="AW48" s="14"/>
      <c r="AX48" s="14"/>
      <c r="AY48" s="14"/>
    </row>
    <row r="49" spans="2:51" ht="14.25" customHeight="1">
      <c r="B49" s="106"/>
      <c r="C49" s="159"/>
      <c r="D49" s="155">
        <v>3.3</v>
      </c>
      <c r="E49" s="153"/>
      <c r="F49" s="137" t="s">
        <v>38</v>
      </c>
      <c r="G49" s="137"/>
      <c r="H49" s="137"/>
      <c r="I49" s="138"/>
      <c r="J49" s="136" t="s">
        <v>16</v>
      </c>
      <c r="K49" s="68" t="s">
        <v>34</v>
      </c>
      <c r="L49" s="16"/>
      <c r="M49" s="114">
        <f>SUMIFS(V49:AY49,V50:AY50,"")-L49</f>
        <v>2</v>
      </c>
      <c r="N49" s="15">
        <f>SUM(W49:AY49)</f>
        <v>2</v>
      </c>
      <c r="O49" s="16">
        <f>SUM(W50:AY50)</f>
        <v>0</v>
      </c>
      <c r="P49" s="16"/>
      <c r="Q49" s="17">
        <v>46121</v>
      </c>
      <c r="R49" s="17">
        <v>46121</v>
      </c>
      <c r="S49" s="18">
        <f>IF(N49=0,"",N49-O49)</f>
        <v>2</v>
      </c>
      <c r="T49" s="65" t="str">
        <f>IF(S49="","",IF(S49=0,1,IF(O49=0,"",O49/(O49+S49))))</f>
        <v/>
      </c>
      <c r="U49" s="19" t="s">
        <v>6</v>
      </c>
      <c r="V49" s="20"/>
      <c r="W49" s="20"/>
      <c r="X49" s="20"/>
      <c r="Y49" s="76"/>
      <c r="Z49" s="76"/>
      <c r="AA49" s="20"/>
      <c r="AB49" s="20"/>
      <c r="AC49" s="20"/>
      <c r="AD49" s="20">
        <v>2</v>
      </c>
      <c r="AE49" s="20"/>
      <c r="AF49" s="76"/>
      <c r="AG49" s="76"/>
      <c r="AH49" s="76"/>
      <c r="AI49" s="76"/>
      <c r="AJ49" s="76"/>
      <c r="AK49" s="76"/>
      <c r="AL49" s="76"/>
      <c r="AM49" s="76"/>
      <c r="AN49" s="76"/>
      <c r="AO49" s="20"/>
      <c r="AP49" s="20"/>
      <c r="AQ49" s="20"/>
      <c r="AR49" s="20"/>
      <c r="AS49" s="20"/>
      <c r="AT49" s="108"/>
      <c r="AU49" s="108"/>
      <c r="AV49" s="20"/>
      <c r="AW49" s="20"/>
      <c r="AX49" s="20"/>
      <c r="AY49" s="20"/>
    </row>
    <row r="50" spans="2:51">
      <c r="B50" s="107"/>
      <c r="C50" s="160"/>
      <c r="D50" s="156"/>
      <c r="E50" s="154"/>
      <c r="F50" s="139"/>
      <c r="G50" s="139"/>
      <c r="H50" s="139"/>
      <c r="I50" s="140"/>
      <c r="J50" s="129"/>
      <c r="K50" s="69" t="str">
        <f t="shared" ref="K50" si="33">IF(K49="","",K49)</f>
        <v>Person5</v>
      </c>
      <c r="L50" s="21">
        <f t="shared" ref="L50:P50" si="34">L49</f>
        <v>0</v>
      </c>
      <c r="M50" s="21">
        <f t="shared" si="34"/>
        <v>2</v>
      </c>
      <c r="N50" s="21">
        <f t="shared" si="34"/>
        <v>2</v>
      </c>
      <c r="O50" s="21">
        <f t="shared" si="34"/>
        <v>0</v>
      </c>
      <c r="P50" s="21">
        <f t="shared" si="34"/>
        <v>0</v>
      </c>
      <c r="Q50" s="22"/>
      <c r="R50" s="13"/>
      <c r="S50" s="67">
        <f>S49</f>
        <v>2</v>
      </c>
      <c r="T50" s="66" t="str">
        <f>T49</f>
        <v/>
      </c>
      <c r="U50" s="23" t="s">
        <v>7</v>
      </c>
      <c r="V50" s="14"/>
      <c r="W50" s="14"/>
      <c r="X50" s="14"/>
      <c r="Y50" s="77"/>
      <c r="Z50" s="77"/>
      <c r="AA50" s="14"/>
      <c r="AB50" s="14"/>
      <c r="AC50" s="14"/>
      <c r="AD50" s="14"/>
      <c r="AE50" s="14"/>
      <c r="AF50" s="77"/>
      <c r="AG50" s="77"/>
      <c r="AH50" s="77"/>
      <c r="AI50" s="77"/>
      <c r="AJ50" s="77"/>
      <c r="AK50" s="77"/>
      <c r="AL50" s="77"/>
      <c r="AM50" s="77"/>
      <c r="AN50" s="77"/>
      <c r="AO50" s="14"/>
      <c r="AP50" s="14"/>
      <c r="AQ50" s="14"/>
      <c r="AR50" s="14"/>
      <c r="AS50" s="14"/>
      <c r="AT50" s="109"/>
      <c r="AU50" s="109"/>
      <c r="AV50" s="14"/>
      <c r="AW50" s="14"/>
      <c r="AX50" s="14"/>
      <c r="AY50" s="14"/>
    </row>
    <row r="51" spans="2:51" ht="13.5" customHeight="1">
      <c r="B51" s="12"/>
      <c r="C51" s="82"/>
      <c r="D51" s="148"/>
      <c r="E51" s="149"/>
      <c r="F51" s="149"/>
      <c r="G51" s="149"/>
      <c r="H51" s="149"/>
      <c r="I51" s="150"/>
      <c r="J51" s="24"/>
      <c r="K51" s="25"/>
      <c r="L51" s="25"/>
      <c r="M51" s="25"/>
      <c r="N51" s="26"/>
      <c r="O51" s="26"/>
      <c r="P51" s="26"/>
      <c r="Q51" s="27"/>
      <c r="R51" s="28"/>
      <c r="S51" s="61"/>
      <c r="T51" s="62"/>
      <c r="U51" s="29"/>
      <c r="V51" s="30"/>
      <c r="W51" s="30"/>
      <c r="X51" s="30"/>
      <c r="Y51" s="78"/>
      <c r="Z51" s="78"/>
      <c r="AA51" s="30"/>
      <c r="AB51" s="30"/>
      <c r="AC51" s="30"/>
      <c r="AD51" s="30"/>
      <c r="AE51" s="30"/>
      <c r="AF51" s="76"/>
      <c r="AG51" s="76"/>
      <c r="AH51" s="78"/>
      <c r="AI51" s="78"/>
      <c r="AJ51" s="78"/>
      <c r="AK51" s="78"/>
      <c r="AL51" s="78"/>
      <c r="AM51" s="76"/>
      <c r="AN51" s="76"/>
      <c r="AO51" s="30"/>
      <c r="AP51" s="30"/>
      <c r="AQ51" s="30"/>
      <c r="AR51" s="30"/>
      <c r="AS51" s="30"/>
      <c r="AT51" s="76"/>
      <c r="AU51" s="76"/>
      <c r="AV51" s="30"/>
      <c r="AW51" s="30"/>
      <c r="AX51" s="30"/>
      <c r="AY51" s="30"/>
    </row>
    <row r="52" spans="2:51" ht="16.350000000000001" customHeight="1">
      <c r="B52" s="12"/>
      <c r="C52" s="141"/>
      <c r="D52" s="142" t="s">
        <v>9</v>
      </c>
      <c r="E52" s="143"/>
      <c r="F52" s="143"/>
      <c r="G52" s="143"/>
      <c r="H52" s="143"/>
      <c r="I52" s="144"/>
      <c r="J52" s="48"/>
      <c r="K52" s="49"/>
      <c r="L52" s="49"/>
      <c r="M52" s="49"/>
      <c r="N52" s="50"/>
      <c r="O52" s="50"/>
      <c r="P52" s="50"/>
      <c r="Q52" s="51"/>
      <c r="R52" s="51"/>
      <c r="S52" s="52"/>
      <c r="T52" s="53" t="str">
        <f>IF(S52="","",IF(S52=0,1,IF(O52=0,"",O52/(O52+S52))))</f>
        <v/>
      </c>
      <c r="U52" s="54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</row>
    <row r="53" spans="2:51">
      <c r="B53" s="12"/>
      <c r="C53" s="141"/>
      <c r="D53" s="145"/>
      <c r="E53" s="146"/>
      <c r="F53" s="146"/>
      <c r="G53" s="146"/>
      <c r="H53" s="146"/>
      <c r="I53" s="147"/>
      <c r="J53" s="48"/>
      <c r="K53" s="49"/>
      <c r="L53" s="49"/>
      <c r="M53" s="49"/>
      <c r="N53" s="56"/>
      <c r="O53" s="56"/>
      <c r="P53" s="56"/>
      <c r="Q53" s="51"/>
      <c r="R53" s="51"/>
      <c r="S53" s="57"/>
      <c r="T53" s="58" t="str">
        <f>T52</f>
        <v/>
      </c>
      <c r="U53" s="59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</row>
    <row r="54" spans="2:51"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</row>
  </sheetData>
  <sheetProtection formatColumns="0" formatRows="0" insertColumns="0" insertRows="0" deleteColumns="0" deleteRows="0"/>
  <autoFilter ref="A22:AY50">
    <filterColumn colId="3" showButton="0"/>
    <filterColumn colId="4" showButton="0"/>
    <filterColumn colId="5" showButton="0"/>
    <filterColumn colId="6" showButton="0"/>
    <filterColumn colId="7" showButton="0"/>
  </autoFilter>
  <mergeCells count="76">
    <mergeCell ref="C45:C46"/>
    <mergeCell ref="D45:D46"/>
    <mergeCell ref="E45:E46"/>
    <mergeCell ref="F45:I46"/>
    <mergeCell ref="J45:J46"/>
    <mergeCell ref="C47:C48"/>
    <mergeCell ref="D47:D48"/>
    <mergeCell ref="E47:E48"/>
    <mergeCell ref="F47:I48"/>
    <mergeCell ref="J47:J48"/>
    <mergeCell ref="C49:C50"/>
    <mergeCell ref="D49:D50"/>
    <mergeCell ref="E49:E50"/>
    <mergeCell ref="F49:I50"/>
    <mergeCell ref="J49:J50"/>
    <mergeCell ref="C37:C38"/>
    <mergeCell ref="D37:D38"/>
    <mergeCell ref="E37:E38"/>
    <mergeCell ref="F37:I38"/>
    <mergeCell ref="J37:J38"/>
    <mergeCell ref="C39:C40"/>
    <mergeCell ref="D39:D40"/>
    <mergeCell ref="E39:E40"/>
    <mergeCell ref="F39:I40"/>
    <mergeCell ref="J39:J40"/>
    <mergeCell ref="C41:C42"/>
    <mergeCell ref="D41:D42"/>
    <mergeCell ref="E41:E42"/>
    <mergeCell ref="F41:I42"/>
    <mergeCell ref="J41:J42"/>
    <mergeCell ref="C43:C44"/>
    <mergeCell ref="D43:D44"/>
    <mergeCell ref="E43:E44"/>
    <mergeCell ref="F43:I44"/>
    <mergeCell ref="J43:J44"/>
    <mergeCell ref="B21:B22"/>
    <mergeCell ref="C21:C22"/>
    <mergeCell ref="D21:I22"/>
    <mergeCell ref="C23:C24"/>
    <mergeCell ref="D23:I24"/>
    <mergeCell ref="C27:C28"/>
    <mergeCell ref="D27:D28"/>
    <mergeCell ref="F27:I28"/>
    <mergeCell ref="C35:C36"/>
    <mergeCell ref="D35:D36"/>
    <mergeCell ref="E35:E36"/>
    <mergeCell ref="F35:I36"/>
    <mergeCell ref="C29:C30"/>
    <mergeCell ref="C31:C32"/>
    <mergeCell ref="D31:D32"/>
    <mergeCell ref="E27:E28"/>
    <mergeCell ref="E31:E32"/>
    <mergeCell ref="J33:J34"/>
    <mergeCell ref="J27:J28"/>
    <mergeCell ref="F31:I32"/>
    <mergeCell ref="C52:C53"/>
    <mergeCell ref="D52:I53"/>
    <mergeCell ref="D51:I51"/>
    <mergeCell ref="D33:D34"/>
    <mergeCell ref="E33:E34"/>
    <mergeCell ref="F33:I34"/>
    <mergeCell ref="J35:J36"/>
    <mergeCell ref="D29:D30"/>
    <mergeCell ref="E29:E30"/>
    <mergeCell ref="F29:I30"/>
    <mergeCell ref="J31:J32"/>
    <mergeCell ref="J29:J30"/>
    <mergeCell ref="C33:C34"/>
    <mergeCell ref="C25:C26"/>
    <mergeCell ref="J25:J26"/>
    <mergeCell ref="T21:T22"/>
    <mergeCell ref="J21:J22"/>
    <mergeCell ref="K21:K22"/>
    <mergeCell ref="S21:S22"/>
    <mergeCell ref="J23:J24"/>
    <mergeCell ref="D25:I26"/>
  </mergeCells>
  <phoneticPr fontId="3"/>
  <conditionalFormatting sqref="C23:C24 M31:M34 L33:L34 S29:S34 T27:T34 C27:D34">
    <cfRule type="expression" dxfId="459" priority="46892">
      <formula>$T23=1</formula>
    </cfRule>
  </conditionalFormatting>
  <conditionalFormatting sqref="C51:K51 O26 S25:T26 C25:C26 D25 K24 S27 E31:F31 M51:T51 M23 J29:J32 N31:P32 Q23:S23 M25:M26 L27:P30">
    <cfRule type="expression" dxfId="458" priority="65653">
      <formula>$T23=1</formula>
    </cfRule>
  </conditionalFormatting>
  <conditionalFormatting sqref="D23">
    <cfRule type="expression" dxfId="457" priority="46881">
      <formula>$T23=1</formula>
    </cfRule>
  </conditionalFormatting>
  <conditionalFormatting sqref="E29">
    <cfRule type="expression" dxfId="456" priority="38761">
      <formula>$T29=1</formula>
    </cfRule>
  </conditionalFormatting>
  <conditionalFormatting sqref="E33">
    <cfRule type="expression" dxfId="455" priority="9327">
      <formula>$T33=1</formula>
    </cfRule>
  </conditionalFormatting>
  <conditionalFormatting sqref="E27:F27">
    <cfRule type="expression" dxfId="454" priority="38774">
      <formula>$T27=1</formula>
    </cfRule>
  </conditionalFormatting>
  <conditionalFormatting sqref="F29">
    <cfRule type="expression" dxfId="453" priority="16174">
      <formula>$T29=1</formula>
    </cfRule>
  </conditionalFormatting>
  <conditionalFormatting sqref="J23:J24">
    <cfRule type="expression" dxfId="452" priority="46890">
      <formula>$T23=1</formula>
    </cfRule>
  </conditionalFormatting>
  <conditionalFormatting sqref="J25:J26">
    <cfRule type="expression" dxfId="451" priority="45867">
      <formula>$T25=1</formula>
    </cfRule>
  </conditionalFormatting>
  <conditionalFormatting sqref="J33:J34">
    <cfRule type="expression" dxfId="450" priority="9330">
      <formula>$T33=1</formula>
    </cfRule>
    <cfRule type="expression" dxfId="449" priority="9331">
      <formula>$T33=1</formula>
    </cfRule>
  </conditionalFormatting>
  <conditionalFormatting sqref="K25">
    <cfRule type="expression" dxfId="448" priority="45841">
      <formula>$T25=1</formula>
    </cfRule>
  </conditionalFormatting>
  <conditionalFormatting sqref="K26">
    <cfRule type="expression" dxfId="447" priority="45842">
      <formula>$T26=1</formula>
    </cfRule>
  </conditionalFormatting>
  <conditionalFormatting sqref="K29 K27">
    <cfRule type="expression" dxfId="446" priority="38758">
      <formula>$T27=1</formula>
    </cfRule>
  </conditionalFormatting>
  <conditionalFormatting sqref="K28 K30">
    <cfRule type="expression" dxfId="445" priority="38755">
      <formula>$T28=1</formula>
    </cfRule>
  </conditionalFormatting>
  <conditionalFormatting sqref="K32 K34">
    <cfRule type="expression" dxfId="444" priority="5551">
      <formula>$T32=1</formula>
    </cfRule>
  </conditionalFormatting>
  <conditionalFormatting sqref="L23 O33:P34 L25:L26">
    <cfRule type="expression" dxfId="443" priority="5730">
      <formula>IF(AND($N23&lt;$O23,$U23="予定"),TRUE,FALSE)</formula>
    </cfRule>
    <cfRule type="expression" dxfId="442" priority="5731">
      <formula>$T23=1</formula>
    </cfRule>
  </conditionalFormatting>
  <conditionalFormatting sqref="L31:L32">
    <cfRule type="expression" dxfId="441" priority="5684">
      <formula>IF(AND($N31&lt;$O31,$U31="予定"),TRUE,FALSE)</formula>
    </cfRule>
    <cfRule type="expression" dxfId="440" priority="5685">
      <formula>$T31=1</formula>
    </cfRule>
  </conditionalFormatting>
  <conditionalFormatting sqref="L51">
    <cfRule type="expression" dxfId="439" priority="5736">
      <formula>$T51=1</formula>
    </cfRule>
  </conditionalFormatting>
  <conditionalFormatting sqref="N33:N34">
    <cfRule type="expression" dxfId="438" priority="46882">
      <formula>IF(AND($N33&gt;$O33,$U33="予定"),TRUE,FALSE)</formula>
    </cfRule>
  </conditionalFormatting>
  <conditionalFormatting sqref="N25">
    <cfRule type="expression" dxfId="437" priority="27284">
      <formula>$T25=1</formula>
    </cfRule>
    <cfRule type="expression" dxfId="436" priority="27285">
      <formula>IF(AND($N25&gt;$O25,$U25="予定"),TRUE,FALSE)</formula>
    </cfRule>
  </conditionalFormatting>
  <conditionalFormatting sqref="N26">
    <cfRule type="expression" dxfId="435" priority="45880">
      <formula>$T26=1</formula>
    </cfRule>
  </conditionalFormatting>
  <conditionalFormatting sqref="N28">
    <cfRule type="expression" dxfId="434" priority="38779">
      <formula>$T28=1</formula>
    </cfRule>
  </conditionalFormatting>
  <conditionalFormatting sqref="N33">
    <cfRule type="expression" dxfId="433" priority="9336">
      <formula>$T33=1</formula>
    </cfRule>
  </conditionalFormatting>
  <conditionalFormatting sqref="N34">
    <cfRule type="expression" dxfId="432" priority="9335">
      <formula>$T34=1</formula>
    </cfRule>
  </conditionalFormatting>
  <conditionalFormatting sqref="N51 N26:N32">
    <cfRule type="expression" dxfId="431" priority="115116">
      <formula>IF(AND($N26&gt;$O26,$U26="予定"),TRUE,FALSE)</formula>
    </cfRule>
  </conditionalFormatting>
  <conditionalFormatting sqref="O23">
    <cfRule type="expression" dxfId="430" priority="27282">
      <formula>IF(AND($N23&lt;$O23,$U23="予定"),TRUE,FALSE)</formula>
    </cfRule>
    <cfRule type="expression" dxfId="429" priority="27283">
      <formula>$T23=1</formula>
    </cfRule>
  </conditionalFormatting>
  <conditionalFormatting sqref="O25">
    <cfRule type="expression" dxfId="428" priority="27286">
      <formula>IF(AND($N25&lt;$O25,$U25="予定"),TRUE,FALSE)</formula>
    </cfRule>
    <cfRule type="expression" dxfId="427" priority="27287">
      <formula>$T25=1</formula>
    </cfRule>
  </conditionalFormatting>
  <conditionalFormatting sqref="M31:M34 L33:L34">
    <cfRule type="expression" dxfId="426" priority="31025">
      <formula>IF(AND($N31&lt;$O31,$U31="予定"),TRUE,FALSE)</formula>
    </cfRule>
  </conditionalFormatting>
  <conditionalFormatting sqref="O26:P26">
    <cfRule type="expression" dxfId="425" priority="45854">
      <formula>IF(AND($N26&lt;$O26,$U26="予定"),TRUE,FALSE)</formula>
    </cfRule>
  </conditionalFormatting>
  <conditionalFormatting sqref="O51:P51 P25 M23 O27:P32 L27:M30 M25:M26">
    <cfRule type="expression" dxfId="424" priority="113609">
      <formula>IF(AND($N23&lt;$O23,$U23="予定"),TRUE,FALSE)</formula>
    </cfRule>
  </conditionalFormatting>
  <conditionalFormatting sqref="P25:P26">
    <cfRule type="expression" dxfId="423" priority="45889">
      <formula>$T25=1</formula>
    </cfRule>
  </conditionalFormatting>
  <conditionalFormatting sqref="Q51 Q23 Q27:R27 Q25:Q28">
    <cfRule type="expression" dxfId="422" priority="140295">
      <formula>IF(AND($Q23&lt;$E$19,$U23="予定"),IF($T23&lt;&gt;1,TRUE,FALSE),FALSE)</formula>
    </cfRule>
  </conditionalFormatting>
  <conditionalFormatting sqref="Q27">
    <cfRule type="expression" dxfId="421" priority="38776">
      <formula>$T27=1</formula>
    </cfRule>
  </conditionalFormatting>
  <conditionalFormatting sqref="Q25:R26">
    <cfRule type="expression" dxfId="420" priority="45840">
      <formula>$T25=1</formula>
    </cfRule>
  </conditionalFormatting>
  <conditionalFormatting sqref="R51">
    <cfRule type="expression" dxfId="419" priority="582">
      <formula>IF(AND($R51&lt;$E$19,$U51="予定"),IF($T51&lt;&gt;1,TRUE,FALSE),FALSE)</formula>
    </cfRule>
  </conditionalFormatting>
  <conditionalFormatting sqref="Q28:S28">
    <cfRule type="expression" dxfId="418" priority="38780">
      <formula>$T28=1</formula>
    </cfRule>
  </conditionalFormatting>
  <conditionalFormatting sqref="R23 Q27:R27 R25:R26 R28">
    <cfRule type="expression" dxfId="417" priority="139527">
      <formula>IF(AND($R23&lt;$E$19,$U23="予定"),IF($T23&lt;&gt;1,TRUE,FALSE),FALSE)</formula>
    </cfRule>
  </conditionalFormatting>
  <conditionalFormatting sqref="R27">
    <cfRule type="expression" dxfId="416" priority="38684">
      <formula>$T27=1</formula>
    </cfRule>
    <cfRule type="expression" dxfId="415" priority="38770">
      <formula>$T27=1</formula>
    </cfRule>
    <cfRule type="expression" dxfId="414" priority="38773">
      <formula>$T27=1</formula>
    </cfRule>
    <cfRule type="expression" dxfId="413" priority="38775">
      <formula>$T27=1</formula>
    </cfRule>
  </conditionalFormatting>
  <conditionalFormatting sqref="S26">
    <cfRule type="expression" dxfId="412" priority="45856">
      <formula>$T26=1</formula>
    </cfRule>
    <cfRule type="expression" dxfId="411" priority="45857">
      <formula>$T26=1</formula>
    </cfRule>
    <cfRule type="expression" dxfId="410" priority="45858">
      <formula>$T26=1</formula>
    </cfRule>
  </conditionalFormatting>
  <conditionalFormatting sqref="T23">
    <cfRule type="expression" dxfId="409" priority="45949">
      <formula>$T23=1</formula>
    </cfRule>
  </conditionalFormatting>
  <conditionalFormatting sqref="V4:V15">
    <cfRule type="expression" dxfId="408" priority="11625">
      <formula>IF(V4&gt;8,TRUE,FALSE)</formula>
    </cfRule>
  </conditionalFormatting>
  <conditionalFormatting sqref="V20:AY22">
    <cfRule type="expression" dxfId="407" priority="65651">
      <formula>IF(V$22=$E$19,TRUE,FALSE)</formula>
    </cfRule>
  </conditionalFormatting>
  <conditionalFormatting sqref="V23:V34 AM29:AN34 AT33:AU34 W34:AL34 AO34:AS34 AV34:AY34 V51:AY51 AM23:AY28 AO29:AY32 AV42:AY42 AM35:AY36 AO37:AY40 AV50:AY50 AM43:AY44 AO45:AY48">
    <cfRule type="expression" dxfId="406" priority="634">
      <formula>IF($U23="予定",IF(V23&gt;0,TRUE,FALSE))</formula>
    </cfRule>
    <cfRule type="expression" dxfId="405" priority="635">
      <formula>IF($U23="実績",IF(V23&gt;0,TRUE,FALSE))</formula>
    </cfRule>
    <cfRule type="expression" dxfId="404" priority="636">
      <formula>IF(TEXT(V$22,"aaa")="土",TRUE,IF(TEXT(V$22,"aaa")="日",TRUE,FALSE))</formula>
    </cfRule>
    <cfRule type="expression" dxfId="403" priority="637">
      <formula>IF($K23="合計",TRUE,FALSE)</formula>
    </cfRule>
  </conditionalFormatting>
  <conditionalFormatting sqref="W4:AC15 W4:AL9">
    <cfRule type="expression" dxfId="402" priority="91200">
      <formula>IF(W4&gt;8,TRUE,FALSE)</formula>
    </cfRule>
  </conditionalFormatting>
  <conditionalFormatting sqref="AB4:AC5">
    <cfRule type="expression" dxfId="401" priority="40794">
      <formula>IF(AB4&gt;8,TRUE,FALSE)</formula>
    </cfRule>
  </conditionalFormatting>
  <conditionalFormatting sqref="AB6:AC7">
    <cfRule type="expression" dxfId="400" priority="40814">
      <formula>IF(AB6&gt;8,TRUE,FALSE)</formula>
    </cfRule>
  </conditionalFormatting>
  <conditionalFormatting sqref="AB8:AC9">
    <cfRule type="expression" dxfId="399" priority="46799">
      <formula>IF(AB8&gt;8,TRUE,FALSE)</formula>
    </cfRule>
  </conditionalFormatting>
  <conditionalFormatting sqref="AB10:AC11">
    <cfRule type="expression" dxfId="398" priority="46797">
      <formula>IF(AB10&gt;8,TRUE,FALSE)</formula>
    </cfRule>
  </conditionalFormatting>
  <conditionalFormatting sqref="AB12:AC13">
    <cfRule type="expression" dxfId="397" priority="42719">
      <formula>IF(AB12&gt;8,TRUE,FALSE)</formula>
    </cfRule>
  </conditionalFormatting>
  <conditionalFormatting sqref="AB14:AC15">
    <cfRule type="expression" dxfId="396" priority="42704">
      <formula>IF(AB14&gt;8,TRUE,FALSE)</formula>
    </cfRule>
  </conditionalFormatting>
  <conditionalFormatting sqref="AD5:AK5 AD4 AF4:AK4">
    <cfRule type="expression" dxfId="395" priority="40792">
      <formula>IF(AD4&gt;8,TRUE,FALSE)</formula>
    </cfRule>
  </conditionalFormatting>
  <conditionalFormatting sqref="AD7:AK7 AD6 AF6:AK6">
    <cfRule type="expression" dxfId="394" priority="40812">
      <formula>IF(AD6&gt;8,TRUE,FALSE)</formula>
    </cfRule>
  </conditionalFormatting>
  <conditionalFormatting sqref="AD9:AK9 AD8 AF8:AK8">
    <cfRule type="expression" dxfId="393" priority="46775">
      <formula>IF(AD8&gt;8,TRUE,FALSE)</formula>
    </cfRule>
  </conditionalFormatting>
  <conditionalFormatting sqref="AD10:AK11">
    <cfRule type="expression" dxfId="392" priority="46772">
      <formula>IF(AD10&gt;8,TRUE,FALSE)</formula>
    </cfRule>
  </conditionalFormatting>
  <conditionalFormatting sqref="AD12:AK13">
    <cfRule type="expression" dxfId="391" priority="42717">
      <formula>IF(AD12&gt;8,TRUE,FALSE)</formula>
    </cfRule>
  </conditionalFormatting>
  <conditionalFormatting sqref="AD14:AK15">
    <cfRule type="expression" dxfId="390" priority="42702">
      <formula>IF(AD14&gt;8,TRUE,FALSE)</formula>
    </cfRule>
  </conditionalFormatting>
  <conditionalFormatting sqref="AD4:AL5">
    <cfRule type="expression" dxfId="389" priority="40793">
      <formula>IF(AD4&gt;8,TRUE,FALSE)</formula>
    </cfRule>
  </conditionalFormatting>
  <conditionalFormatting sqref="AD6:AL7">
    <cfRule type="expression" dxfId="388" priority="40813">
      <formula>IF(AD6&gt;8,TRUE,FALSE)</formula>
    </cfRule>
  </conditionalFormatting>
  <conditionalFormatting sqref="AD8:AL11">
    <cfRule type="expression" dxfId="387" priority="46782">
      <formula>IF(AD8&gt;8,TRUE,FALSE)</formula>
    </cfRule>
  </conditionalFormatting>
  <conditionalFormatting sqref="AD12:AL13">
    <cfRule type="expression" dxfId="386" priority="42718">
      <formula>IF(AD12&gt;8,TRUE,FALSE)</formula>
    </cfRule>
  </conditionalFormatting>
  <conditionalFormatting sqref="AD14:AL15">
    <cfRule type="expression" dxfId="385" priority="42703">
      <formula>IF(AD14&gt;8,TRUE,FALSE)</formula>
    </cfRule>
  </conditionalFormatting>
  <conditionalFormatting sqref="AE4">
    <cfRule type="expression" dxfId="384" priority="40791">
      <formula>IF(AE4&gt;8,TRUE,FALSE)</formula>
    </cfRule>
  </conditionalFormatting>
  <conditionalFormatting sqref="AE6">
    <cfRule type="expression" dxfId="383" priority="40811">
      <formula>IF(AE6&gt;8,TRUE,FALSE)</formula>
    </cfRule>
  </conditionalFormatting>
  <conditionalFormatting sqref="AE8">
    <cfRule type="expression" dxfId="382" priority="46774">
      <formula>IF(AE8&gt;8,TRUE,FALSE)</formula>
    </cfRule>
  </conditionalFormatting>
  <conditionalFormatting sqref="AK33:AL33">
    <cfRule type="expression" dxfId="381" priority="9320">
      <formula>IF(#REF!="予定",IF(AK33&gt;0,TRUE,FALSE))</formula>
    </cfRule>
    <cfRule type="expression" dxfId="380" priority="9321">
      <formula>IF(#REF!="実績",IF(AK33&gt;0,TRUE,FALSE))</formula>
    </cfRule>
    <cfRule type="expression" dxfId="379" priority="9322">
      <formula>IF(TEXT(AD$22,"aaa")="土",TRUE,IF(TEXT(AD$22,"aaa")="日",TRUE,FALSE))</formula>
    </cfRule>
    <cfRule type="expression" dxfId="378" priority="9323">
      <formula>IF(#REF!="合計",TRUE,FALSE)</formula>
    </cfRule>
  </conditionalFormatting>
  <conditionalFormatting sqref="AL4:AL5">
    <cfRule type="expression" dxfId="377" priority="40790">
      <formula>IF(AL4&gt;8,TRUE,FALSE)</formula>
    </cfRule>
  </conditionalFormatting>
  <conditionalFormatting sqref="AL6:AL7">
    <cfRule type="expression" dxfId="376" priority="40810">
      <formula>IF(AL6&gt;8,TRUE,FALSE)</formula>
    </cfRule>
  </conditionalFormatting>
  <conditionalFormatting sqref="AL8:AL9">
    <cfRule type="expression" dxfId="375" priority="46773">
      <formula>IF(AL8&gt;8,TRUE,FALSE)</formula>
    </cfRule>
  </conditionalFormatting>
  <conditionalFormatting sqref="AL10:AL11">
    <cfRule type="expression" dxfId="374" priority="46771">
      <formula>IF(AL10&gt;8,TRUE,FALSE)</formula>
    </cfRule>
  </conditionalFormatting>
  <conditionalFormatting sqref="AL12:AL13">
    <cfRule type="expression" dxfId="373" priority="42716">
      <formula>IF(AL12&gt;8,TRUE,FALSE)</formula>
    </cfRule>
  </conditionalFormatting>
  <conditionalFormatting sqref="AL14:AL15">
    <cfRule type="expression" dxfId="372" priority="42701">
      <formula>IF(AL14&gt;8,TRUE,FALSE)</formula>
    </cfRule>
  </conditionalFormatting>
  <conditionalFormatting sqref="AM4:AN5">
    <cfRule type="expression" dxfId="371" priority="10439">
      <formula>IF(AM4&gt;8,TRUE,FALSE)</formula>
    </cfRule>
    <cfRule type="expression" dxfId="370" priority="10440">
      <formula>IF(AM4&gt;8,TRUE,FALSE)</formula>
    </cfRule>
  </conditionalFormatting>
  <conditionalFormatting sqref="AM4:AN9 V17:AY18">
    <cfRule type="expression" dxfId="369" priority="10465">
      <formula>IF(V4&gt;8,TRUE,FALSE)</formula>
    </cfRule>
  </conditionalFormatting>
  <conditionalFormatting sqref="AM6:AN7">
    <cfRule type="expression" dxfId="368" priority="10441">
      <formula>IF(AM6&gt;8,TRUE,FALSE)</formula>
    </cfRule>
    <cfRule type="expression" dxfId="367" priority="10442">
      <formula>IF(AM6&gt;8,TRUE,FALSE)</formula>
    </cfRule>
  </conditionalFormatting>
  <conditionalFormatting sqref="AM8:AN9">
    <cfRule type="expression" dxfId="366" priority="10457">
      <formula>IF(AM8&gt;8,TRUE,FALSE)</formula>
    </cfRule>
  </conditionalFormatting>
  <conditionalFormatting sqref="AM8:AN11">
    <cfRule type="expression" dxfId="365" priority="10459">
      <formula>IF(AM8&gt;8,TRUE,FALSE)</formula>
    </cfRule>
  </conditionalFormatting>
  <conditionalFormatting sqref="AM10:AN11">
    <cfRule type="expression" dxfId="364" priority="10458">
      <formula>IF(AM10&gt;8,TRUE,FALSE)</formula>
    </cfRule>
  </conditionalFormatting>
  <conditionalFormatting sqref="AM12:AN13">
    <cfRule type="expression" dxfId="363" priority="10455">
      <formula>IF(AM12&gt;8,TRUE,FALSE)</formula>
    </cfRule>
    <cfRule type="expression" dxfId="362" priority="10456">
      <formula>IF(AM12&gt;8,TRUE,FALSE)</formula>
    </cfRule>
  </conditionalFormatting>
  <conditionalFormatting sqref="AM14:AN15">
    <cfRule type="expression" dxfId="361" priority="10453">
      <formula>IF(AM14&gt;8,TRUE,FALSE)</formula>
    </cfRule>
    <cfRule type="expression" dxfId="360" priority="10454">
      <formula>IF(AM14&gt;8,TRUE,FALSE)</formula>
    </cfRule>
  </conditionalFormatting>
  <conditionalFormatting sqref="W33:AJ33 AO33:AQ33 AV33:AX33 W23:AL32">
    <cfRule type="expression" dxfId="359" priority="133607">
      <formula>IF($U23="予定",IF(W23&gt;0,TRUE,FALSE))</formula>
    </cfRule>
    <cfRule type="expression" dxfId="358" priority="133608">
      <formula>IF($U23="実績",IF(W23&gt;0,TRUE,FALSE))</formula>
    </cfRule>
    <cfRule type="expression" dxfId="357" priority="133609">
      <formula>IF(TEXT(W$22,"aaa")="土",TRUE,IF(TEXT(W$22,"aaa")="日",TRUE,FALSE))</formula>
    </cfRule>
    <cfRule type="expression" dxfId="356" priority="133610">
      <formula>IF($K23="合計",TRUE,FALSE)</formula>
    </cfRule>
  </conditionalFormatting>
  <conditionalFormatting sqref="AO4:AR5 AV4:AY5">
    <cfRule type="expression" dxfId="355" priority="10079">
      <formula>IF(AO4&gt;8,TRUE,FALSE)</formula>
    </cfRule>
  </conditionalFormatting>
  <conditionalFormatting sqref="AO6:AR7 AV6:AY7">
    <cfRule type="expression" dxfId="354" priority="10082">
      <formula>IF(AO6&gt;8,TRUE,FALSE)</formula>
    </cfRule>
  </conditionalFormatting>
  <conditionalFormatting sqref="AO8:AR9 AV8:AY9">
    <cfRule type="expression" dxfId="353" priority="10106">
      <formula>IF(AO8&gt;8,TRUE,FALSE)</formula>
    </cfRule>
  </conditionalFormatting>
  <conditionalFormatting sqref="AO10:AR11 AV10:AY11">
    <cfRule type="expression" dxfId="352" priority="10107">
      <formula>IF(AO10&gt;8,TRUE,FALSE)</formula>
    </cfRule>
  </conditionalFormatting>
  <conditionalFormatting sqref="AO12:AR13 AV12:AY13">
    <cfRule type="expression" dxfId="351" priority="10103">
      <formula>IF(AO12&gt;8,TRUE,FALSE)</formula>
    </cfRule>
  </conditionalFormatting>
  <conditionalFormatting sqref="AO14:AR15 AV14:AY15">
    <cfRule type="expression" dxfId="350" priority="10100">
      <formula>IF(AO14&gt;8,TRUE,FALSE)</formula>
    </cfRule>
  </conditionalFormatting>
  <conditionalFormatting sqref="AO4:AS5 AV4:AY5">
    <cfRule type="expression" dxfId="349" priority="10080">
      <formula>IF(AO4&gt;8,TRUE,FALSE)</formula>
    </cfRule>
  </conditionalFormatting>
  <conditionalFormatting sqref="AO4:AS9 AV4:AY9">
    <cfRule type="expression" dxfId="348" priority="10115">
      <formula>IF(AO4&gt;8,TRUE,FALSE)</formula>
    </cfRule>
  </conditionalFormatting>
  <conditionalFormatting sqref="AO6:AS7 AV6:AY7">
    <cfRule type="expression" dxfId="347" priority="10083">
      <formula>IF(AO6&gt;8,TRUE,FALSE)</formula>
    </cfRule>
  </conditionalFormatting>
  <conditionalFormatting sqref="AO8:AS11 AV8:AY11">
    <cfRule type="expression" dxfId="346" priority="10109">
      <formula>IF(AO8&gt;8,TRUE,FALSE)</formula>
    </cfRule>
  </conditionalFormatting>
  <conditionalFormatting sqref="AO12:AS13 AV12:AY13">
    <cfRule type="expression" dxfId="345" priority="10104">
      <formula>IF(AO12&gt;8,TRUE,FALSE)</formula>
    </cfRule>
  </conditionalFormatting>
  <conditionalFormatting sqref="AO14:AS15 AV14:AY15">
    <cfRule type="expression" dxfId="344" priority="10101">
      <formula>IF(AO14&gt;8,TRUE,FALSE)</formula>
    </cfRule>
  </conditionalFormatting>
  <conditionalFormatting sqref="AR33:AS33 AY33">
    <cfRule type="expression" dxfId="343" priority="9302">
      <formula>IF(#REF!="予定",IF(AR33&gt;0,TRUE,FALSE))</formula>
    </cfRule>
    <cfRule type="expression" dxfId="342" priority="9303">
      <formula>IF(#REF!="実績",IF(AR33&gt;0,TRUE,FALSE))</formula>
    </cfRule>
    <cfRule type="expression" dxfId="341" priority="9304">
      <formula>IF(TEXT(AK$22,"aaa")="土",TRUE,IF(TEXT(AK$22,"aaa")="日",TRUE,FALSE))</formula>
    </cfRule>
    <cfRule type="expression" dxfId="340" priority="9305">
      <formula>IF(#REF!="合計",TRUE,FALSE)</formula>
    </cfRule>
  </conditionalFormatting>
  <conditionalFormatting sqref="AS4:AS5">
    <cfRule type="expression" dxfId="339" priority="10078">
      <formula>IF(AS4&gt;8,TRUE,FALSE)</formula>
    </cfRule>
  </conditionalFormatting>
  <conditionalFormatting sqref="AS6:AS7">
    <cfRule type="expression" dxfId="338" priority="10081">
      <formula>IF(AS6&gt;8,TRUE,FALSE)</formula>
    </cfRule>
  </conditionalFormatting>
  <conditionalFormatting sqref="AS8:AS9">
    <cfRule type="expression" dxfId="337" priority="10105">
      <formula>IF(AS8&gt;8,TRUE,FALSE)</formula>
    </cfRule>
  </conditionalFormatting>
  <conditionalFormatting sqref="AS10:AS11">
    <cfRule type="expression" dxfId="336" priority="10108">
      <formula>IF(AS10&gt;8,TRUE,FALSE)</formula>
    </cfRule>
  </conditionalFormatting>
  <conditionalFormatting sqref="AS12:AS13">
    <cfRule type="expression" dxfId="335" priority="10102">
      <formula>IF(AS12&gt;8,TRUE,FALSE)</formula>
    </cfRule>
  </conditionalFormatting>
  <conditionalFormatting sqref="AS14:AS15">
    <cfRule type="expression" dxfId="334" priority="10099">
      <formula>IF(AS14&gt;8,TRUE,FALSE)</formula>
    </cfRule>
  </conditionalFormatting>
  <conditionalFormatting sqref="AT4:AU5">
    <cfRule type="expression" dxfId="333" priority="9988">
      <formula>IF(AT4&gt;8,TRUE,FALSE)</formula>
    </cfRule>
    <cfRule type="expression" dxfId="332" priority="9989">
      <formula>IF(AT4&gt;8,TRUE,FALSE)</formula>
    </cfRule>
  </conditionalFormatting>
  <conditionalFormatting sqref="AT4:AU9">
    <cfRule type="expression" dxfId="331" priority="10014">
      <formula>IF(AT4&gt;8,TRUE,FALSE)</formula>
    </cfRule>
  </conditionalFormatting>
  <conditionalFormatting sqref="AT6:AU7">
    <cfRule type="expression" dxfId="330" priority="9990">
      <formula>IF(AT6&gt;8,TRUE,FALSE)</formula>
    </cfRule>
    <cfRule type="expression" dxfId="329" priority="9991">
      <formula>IF(AT6&gt;8,TRUE,FALSE)</formula>
    </cfRule>
  </conditionalFormatting>
  <conditionalFormatting sqref="AT8:AU9">
    <cfRule type="expression" dxfId="328" priority="10006">
      <formula>IF(AT8&gt;8,TRUE,FALSE)</formula>
    </cfRule>
  </conditionalFormatting>
  <conditionalFormatting sqref="AT8:AU11">
    <cfRule type="expression" dxfId="327" priority="10008">
      <formula>IF(AT8&gt;8,TRUE,FALSE)</formula>
    </cfRule>
  </conditionalFormatting>
  <conditionalFormatting sqref="AT10:AU11">
    <cfRule type="expression" dxfId="326" priority="10007">
      <formula>IF(AT10&gt;8,TRUE,FALSE)</formula>
    </cfRule>
  </conditionalFormatting>
  <conditionalFormatting sqref="AT12:AU13">
    <cfRule type="expression" dxfId="325" priority="10004">
      <formula>IF(AT12&gt;8,TRUE,FALSE)</formula>
    </cfRule>
    <cfRule type="expression" dxfId="324" priority="10005">
      <formula>IF(AT12&gt;8,TRUE,FALSE)</formula>
    </cfRule>
  </conditionalFormatting>
  <conditionalFormatting sqref="AT14:AU15">
    <cfRule type="expression" dxfId="323" priority="10002">
      <formula>IF(AT14&gt;8,TRUE,FALSE)</formula>
    </cfRule>
    <cfRule type="expression" dxfId="322" priority="10003">
      <formula>IF(AT14&gt;8,TRUE,FALSE)</formula>
    </cfRule>
  </conditionalFormatting>
  <conditionalFormatting sqref="K31">
    <cfRule type="expression" dxfId="321" priority="546">
      <formula>$T31=1</formula>
    </cfRule>
  </conditionalFormatting>
  <conditionalFormatting sqref="K33">
    <cfRule type="expression" dxfId="320" priority="545">
      <formula>$T33=1</formula>
    </cfRule>
  </conditionalFormatting>
  <conditionalFormatting sqref="F33">
    <cfRule type="expression" dxfId="319" priority="536">
      <formula>$T33=1</formula>
    </cfRule>
  </conditionalFormatting>
  <conditionalFormatting sqref="J27:J28">
    <cfRule type="expression" dxfId="318" priority="537">
      <formula>$T27=1</formula>
    </cfRule>
  </conditionalFormatting>
  <conditionalFormatting sqref="M39:M42 L41:L42 S37:S42 T35:T42 C35:D42">
    <cfRule type="expression" dxfId="317" priority="535">
      <formula>$T35=1</formula>
    </cfRule>
  </conditionalFormatting>
  <conditionalFormatting sqref="S35 E39:F39 J37:J40 L35:M38 N38:R38 N35:P37 N40:R40 N39:P39">
    <cfRule type="expression" dxfId="316" priority="534">
      <formula>$T35=1</formula>
    </cfRule>
  </conditionalFormatting>
  <conditionalFormatting sqref="E37">
    <cfRule type="expression" dxfId="315" priority="533">
      <formula>$T37=1</formula>
    </cfRule>
  </conditionalFormatting>
  <conditionalFormatting sqref="E41">
    <cfRule type="expression" dxfId="314" priority="532">
      <formula>$T41=1</formula>
    </cfRule>
  </conditionalFormatting>
  <conditionalFormatting sqref="E35:F35">
    <cfRule type="expression" dxfId="313" priority="531">
      <formula>$T35=1</formula>
    </cfRule>
  </conditionalFormatting>
  <conditionalFormatting sqref="F37">
    <cfRule type="expression" dxfId="312" priority="530">
      <formula>$T37=1</formula>
    </cfRule>
  </conditionalFormatting>
  <conditionalFormatting sqref="J41:J42">
    <cfRule type="expression" dxfId="311" priority="528">
      <formula>$T41=1</formula>
    </cfRule>
    <cfRule type="expression" dxfId="310" priority="529">
      <formula>$T41=1</formula>
    </cfRule>
  </conditionalFormatting>
  <conditionalFormatting sqref="K37 K35">
    <cfRule type="expression" dxfId="309" priority="527">
      <formula>$T35=1</formula>
    </cfRule>
  </conditionalFormatting>
  <conditionalFormatting sqref="K36 K38">
    <cfRule type="expression" dxfId="308" priority="526">
      <formula>$T36=1</formula>
    </cfRule>
  </conditionalFormatting>
  <conditionalFormatting sqref="K40 K42">
    <cfRule type="expression" dxfId="307" priority="525">
      <formula>$T40=1</formula>
    </cfRule>
  </conditionalFormatting>
  <conditionalFormatting sqref="O41:P42">
    <cfRule type="expression" dxfId="306" priority="523">
      <formula>IF(AND($N41&lt;$O41,$U41="予定"),TRUE,FALSE)</formula>
    </cfRule>
    <cfRule type="expression" dxfId="305" priority="524">
      <formula>$T41=1</formula>
    </cfRule>
  </conditionalFormatting>
  <conditionalFormatting sqref="L39:L40">
    <cfRule type="expression" dxfId="304" priority="521">
      <formula>IF(AND($N39&lt;$O39,$U39="予定"),TRUE,FALSE)</formula>
    </cfRule>
    <cfRule type="expression" dxfId="303" priority="522">
      <formula>$T39=1</formula>
    </cfRule>
  </conditionalFormatting>
  <conditionalFormatting sqref="N41:N42">
    <cfRule type="expression" dxfId="302" priority="520">
      <formula>IF(AND($N41&gt;$O41,$U41="予定"),TRUE,FALSE)</formula>
    </cfRule>
  </conditionalFormatting>
  <conditionalFormatting sqref="N36">
    <cfRule type="expression" dxfId="301" priority="519">
      <formula>$T36=1</formula>
    </cfRule>
  </conditionalFormatting>
  <conditionalFormatting sqref="N41">
    <cfRule type="expression" dxfId="300" priority="518">
      <formula>$T41=1</formula>
    </cfRule>
  </conditionalFormatting>
  <conditionalFormatting sqref="N42">
    <cfRule type="expression" dxfId="299" priority="517">
      <formula>$T42=1</formula>
    </cfRule>
  </conditionalFormatting>
  <conditionalFormatting sqref="N35:N40">
    <cfRule type="expression" dxfId="298" priority="516">
      <formula>IF(AND($N35&gt;$O35,$U35="予定"),TRUE,FALSE)</formula>
    </cfRule>
  </conditionalFormatting>
  <conditionalFormatting sqref="M39:M42 L41:L42">
    <cfRule type="expression" dxfId="297" priority="515">
      <formula>IF(AND($N39&lt;$O39,$U39="予定"),TRUE,FALSE)</formula>
    </cfRule>
  </conditionalFormatting>
  <conditionalFormatting sqref="O35:P40 L35:M38">
    <cfRule type="expression" dxfId="296" priority="514">
      <formula>IF(AND($N35&lt;$O35,$U35="予定"),TRUE,FALSE)</formula>
    </cfRule>
  </conditionalFormatting>
  <conditionalFormatting sqref="Q38 Q40 Q42">
    <cfRule type="expression" dxfId="295" priority="513">
      <formula>IF(AND($Q38&lt;$E$19,$U38="予定"),IF($T38&lt;&gt;1,TRUE,FALSE),FALSE)</formula>
    </cfRule>
  </conditionalFormatting>
  <conditionalFormatting sqref="Q42:R42">
    <cfRule type="expression" dxfId="294" priority="486">
      <formula>$T42=1</formula>
    </cfRule>
  </conditionalFormatting>
  <conditionalFormatting sqref="S36">
    <cfRule type="expression" dxfId="293" priority="485">
      <formula>$T36=1</formula>
    </cfRule>
  </conditionalFormatting>
  <conditionalFormatting sqref="R38 R40 R42">
    <cfRule type="expression" dxfId="292" priority="484">
      <formula>IF(AND($R38&lt;$E$19,$U38="予定"),IF($T38&lt;&gt;1,TRUE,FALSE),FALSE)</formula>
    </cfRule>
  </conditionalFormatting>
  <conditionalFormatting sqref="V35:V42 AM37:AN42 AT41:AU42 W42:AL42 AO42:AS42">
    <cfRule type="expression" dxfId="291" priority="449">
      <formula>IF($U35="予定",IF(V35&gt;0,TRUE,FALSE))</formula>
    </cfRule>
    <cfRule type="expression" dxfId="290" priority="450">
      <formula>IF($U35="実績",IF(V35&gt;0,TRUE,FALSE))</formula>
    </cfRule>
    <cfRule type="expression" dxfId="289" priority="451">
      <formula>IF(TEXT(V$22,"aaa")="土",TRUE,IF(TEXT(V$22,"aaa")="日",TRUE,FALSE))</formula>
    </cfRule>
    <cfRule type="expression" dxfId="288" priority="452">
      <formula>IF($K35="合計",TRUE,FALSE)</formula>
    </cfRule>
  </conditionalFormatting>
  <conditionalFormatting sqref="AK41:AL41">
    <cfRule type="expression" dxfId="287" priority="445">
      <formula>IF(#REF!="予定",IF(AK41&gt;0,TRUE,FALSE))</formula>
    </cfRule>
    <cfRule type="expression" dxfId="286" priority="446">
      <formula>IF(#REF!="実績",IF(AK41&gt;0,TRUE,FALSE))</formula>
    </cfRule>
    <cfRule type="expression" dxfId="285" priority="447">
      <formula>IF(TEXT(AD$22,"aaa")="土",TRUE,IF(TEXT(AD$22,"aaa")="日",TRUE,FALSE))</formula>
    </cfRule>
    <cfRule type="expression" dxfId="284" priority="448">
      <formula>IF(#REF!="合計",TRUE,FALSE)</formula>
    </cfRule>
  </conditionalFormatting>
  <conditionalFormatting sqref="W35:AL40 W41:AJ41 AO41:AQ41 AV41:AX41">
    <cfRule type="expression" dxfId="283" priority="441">
      <formula>IF($U35="予定",IF(W35&gt;0,TRUE,FALSE))</formula>
    </cfRule>
    <cfRule type="expression" dxfId="282" priority="442">
      <formula>IF($U35="実績",IF(W35&gt;0,TRUE,FALSE))</formula>
    </cfRule>
    <cfRule type="expression" dxfId="281" priority="443">
      <formula>IF(TEXT(W$22,"aaa")="土",TRUE,IF(TEXT(W$22,"aaa")="日",TRUE,FALSE))</formula>
    </cfRule>
    <cfRule type="expression" dxfId="280" priority="444">
      <formula>IF($K35="合計",TRUE,FALSE)</formula>
    </cfRule>
  </conditionalFormatting>
  <conditionalFormatting sqref="AR41:AS41 AY41">
    <cfRule type="expression" dxfId="279" priority="437">
      <formula>IF(#REF!="予定",IF(AR41&gt;0,TRUE,FALSE))</formula>
    </cfRule>
    <cfRule type="expression" dxfId="278" priority="438">
      <formula>IF(#REF!="実績",IF(AR41&gt;0,TRUE,FALSE))</formula>
    </cfRule>
    <cfRule type="expression" dxfId="277" priority="439">
      <formula>IF(TEXT(AK$22,"aaa")="土",TRUE,IF(TEXT(AK$22,"aaa")="日",TRUE,FALSE))</formula>
    </cfRule>
    <cfRule type="expression" dxfId="276" priority="440">
      <formula>IF(#REF!="合計",TRUE,FALSE)</formula>
    </cfRule>
  </conditionalFormatting>
  <conditionalFormatting sqref="K39">
    <cfRule type="expression" dxfId="275" priority="424">
      <formula>$T39=1</formula>
    </cfRule>
  </conditionalFormatting>
  <conditionalFormatting sqref="K41">
    <cfRule type="expression" dxfId="274" priority="423">
      <formula>$T41=1</formula>
    </cfRule>
  </conditionalFormatting>
  <conditionalFormatting sqref="F41">
    <cfRule type="expression" dxfId="273" priority="422">
      <formula>$T41=1</formula>
    </cfRule>
  </conditionalFormatting>
  <conditionalFormatting sqref="J35:J36">
    <cfRule type="expression" dxfId="272" priority="421">
      <formula>$T35=1</formula>
    </cfRule>
  </conditionalFormatting>
  <conditionalFormatting sqref="M47:M50 L49:L50 S45:S50 T43:T50 C43:D50">
    <cfRule type="expression" dxfId="271" priority="420">
      <formula>$T43=1</formula>
    </cfRule>
  </conditionalFormatting>
  <conditionalFormatting sqref="S43 E47:F47 J45:J48 N47:P48 L43:P46">
    <cfRule type="expression" dxfId="270" priority="419">
      <formula>$T43=1</formula>
    </cfRule>
  </conditionalFormatting>
  <conditionalFormatting sqref="E45">
    <cfRule type="expression" dxfId="269" priority="418">
      <formula>$T45=1</formula>
    </cfRule>
  </conditionalFormatting>
  <conditionalFormatting sqref="E49">
    <cfRule type="expression" dxfId="268" priority="417">
      <formula>$T49=1</formula>
    </cfRule>
  </conditionalFormatting>
  <conditionalFormatting sqref="E43:F43">
    <cfRule type="expression" dxfId="267" priority="416">
      <formula>$T43=1</formula>
    </cfRule>
  </conditionalFormatting>
  <conditionalFormatting sqref="F45">
    <cfRule type="expression" dxfId="266" priority="415">
      <formula>$T45=1</formula>
    </cfRule>
  </conditionalFormatting>
  <conditionalFormatting sqref="J49:J50">
    <cfRule type="expression" dxfId="265" priority="413">
      <formula>$T49=1</formula>
    </cfRule>
    <cfRule type="expression" dxfId="264" priority="414">
      <formula>$T49=1</formula>
    </cfRule>
  </conditionalFormatting>
  <conditionalFormatting sqref="K45 K43">
    <cfRule type="expression" dxfId="263" priority="412">
      <formula>$T43=1</formula>
    </cfRule>
  </conditionalFormatting>
  <conditionalFormatting sqref="K44 K46">
    <cfRule type="expression" dxfId="262" priority="411">
      <formula>$T44=1</formula>
    </cfRule>
  </conditionalFormatting>
  <conditionalFormatting sqref="K48 K50">
    <cfRule type="expression" dxfId="261" priority="410">
      <formula>$T48=1</formula>
    </cfRule>
  </conditionalFormatting>
  <conditionalFormatting sqref="O49:P50">
    <cfRule type="expression" dxfId="260" priority="408">
      <formula>IF(AND($N49&lt;$O49,$U49="予定"),TRUE,FALSE)</formula>
    </cfRule>
    <cfRule type="expression" dxfId="259" priority="409">
      <formula>$T49=1</formula>
    </cfRule>
  </conditionalFormatting>
  <conditionalFormatting sqref="L47:L48">
    <cfRule type="expression" dxfId="258" priority="406">
      <formula>IF(AND($N47&lt;$O47,$U47="予定"),TRUE,FALSE)</formula>
    </cfRule>
    <cfRule type="expression" dxfId="257" priority="407">
      <formula>$T47=1</formula>
    </cfRule>
  </conditionalFormatting>
  <conditionalFormatting sqref="N49:N50">
    <cfRule type="expression" dxfId="256" priority="405">
      <formula>IF(AND($N49&gt;$O49,$U49="予定"),TRUE,FALSE)</formula>
    </cfRule>
  </conditionalFormatting>
  <conditionalFormatting sqref="N44">
    <cfRule type="expression" dxfId="255" priority="404">
      <formula>$T44=1</formula>
    </cfRule>
  </conditionalFormatting>
  <conditionalFormatting sqref="N49">
    <cfRule type="expression" dxfId="254" priority="403">
      <formula>$T49=1</formula>
    </cfRule>
  </conditionalFormatting>
  <conditionalFormatting sqref="N50">
    <cfRule type="expression" dxfId="253" priority="402">
      <formula>$T50=1</formula>
    </cfRule>
  </conditionalFormatting>
  <conditionalFormatting sqref="N43:N48">
    <cfRule type="expression" dxfId="252" priority="401">
      <formula>IF(AND($N43&gt;$O43,$U43="予定"),TRUE,FALSE)</formula>
    </cfRule>
  </conditionalFormatting>
  <conditionalFormatting sqref="M47:M50 L49:L50">
    <cfRule type="expression" dxfId="251" priority="400">
      <formula>IF(AND($N47&lt;$O47,$U47="予定"),TRUE,FALSE)</formula>
    </cfRule>
  </conditionalFormatting>
  <conditionalFormatting sqref="O43:P48 L43:M46">
    <cfRule type="expression" dxfId="250" priority="399">
      <formula>IF(AND($N43&lt;$O43,$U43="予定"),TRUE,FALSE)</formula>
    </cfRule>
  </conditionalFormatting>
  <conditionalFormatting sqref="S44">
    <cfRule type="expression" dxfId="249" priority="370">
      <formula>$T44=1</formula>
    </cfRule>
  </conditionalFormatting>
  <conditionalFormatting sqref="V43:V50 AM45:AN50 AT49:AU50 W50:AL50 AO50:AS50">
    <cfRule type="expression" dxfId="248" priority="334">
      <formula>IF($U43="予定",IF(V43&gt;0,TRUE,FALSE))</formula>
    </cfRule>
    <cfRule type="expression" dxfId="247" priority="335">
      <formula>IF($U43="実績",IF(V43&gt;0,TRUE,FALSE))</formula>
    </cfRule>
    <cfRule type="expression" dxfId="246" priority="336">
      <formula>IF(TEXT(V$22,"aaa")="土",TRUE,IF(TEXT(V$22,"aaa")="日",TRUE,FALSE))</formula>
    </cfRule>
    <cfRule type="expression" dxfId="245" priority="337">
      <formula>IF($K43="合計",TRUE,FALSE)</formula>
    </cfRule>
  </conditionalFormatting>
  <conditionalFormatting sqref="AK49:AL49">
    <cfRule type="expression" dxfId="244" priority="330">
      <formula>IF(#REF!="予定",IF(AK49&gt;0,TRUE,FALSE))</formula>
    </cfRule>
    <cfRule type="expression" dxfId="243" priority="331">
      <formula>IF(#REF!="実績",IF(AK49&gt;0,TRUE,FALSE))</formula>
    </cfRule>
    <cfRule type="expression" dxfId="242" priority="332">
      <formula>IF(TEXT(AD$22,"aaa")="土",TRUE,IF(TEXT(AD$22,"aaa")="日",TRUE,FALSE))</formula>
    </cfRule>
    <cfRule type="expression" dxfId="241" priority="333">
      <formula>IF(#REF!="合計",TRUE,FALSE)</formula>
    </cfRule>
  </conditionalFormatting>
  <conditionalFormatting sqref="W43:AL48 W49:AJ49 AO49:AQ49 AV49:AX49">
    <cfRule type="expression" dxfId="240" priority="326">
      <formula>IF($U43="予定",IF(W43&gt;0,TRUE,FALSE))</formula>
    </cfRule>
    <cfRule type="expression" dxfId="239" priority="327">
      <formula>IF($U43="実績",IF(W43&gt;0,TRUE,FALSE))</formula>
    </cfRule>
    <cfRule type="expression" dxfId="238" priority="328">
      <formula>IF(TEXT(W$22,"aaa")="土",TRUE,IF(TEXT(W$22,"aaa")="日",TRUE,FALSE))</formula>
    </cfRule>
    <cfRule type="expression" dxfId="237" priority="329">
      <formula>IF($K43="合計",TRUE,FALSE)</formula>
    </cfRule>
  </conditionalFormatting>
  <conditionalFormatting sqref="AR49:AS49 AY49">
    <cfRule type="expression" dxfId="236" priority="322">
      <formula>IF(#REF!="予定",IF(AR49&gt;0,TRUE,FALSE))</formula>
    </cfRule>
    <cfRule type="expression" dxfId="235" priority="323">
      <formula>IF(#REF!="実績",IF(AR49&gt;0,TRUE,FALSE))</formula>
    </cfRule>
    <cfRule type="expression" dxfId="234" priority="324">
      <formula>IF(TEXT(AK$22,"aaa")="土",TRUE,IF(TEXT(AK$22,"aaa")="日",TRUE,FALSE))</formula>
    </cfRule>
    <cfRule type="expression" dxfId="233" priority="325">
      <formula>IF(#REF!="合計",TRUE,FALSE)</formula>
    </cfRule>
  </conditionalFormatting>
  <conditionalFormatting sqref="K47">
    <cfRule type="expression" dxfId="232" priority="309">
      <formula>$T47=1</formula>
    </cfRule>
  </conditionalFormatting>
  <conditionalFormatting sqref="K49">
    <cfRule type="expression" dxfId="231" priority="308">
      <formula>$T49=1</formula>
    </cfRule>
  </conditionalFormatting>
  <conditionalFormatting sqref="F49">
    <cfRule type="expression" dxfId="230" priority="307">
      <formula>$T49=1</formula>
    </cfRule>
  </conditionalFormatting>
  <conditionalFormatting sqref="J43:J44">
    <cfRule type="expression" dxfId="229" priority="306">
      <formula>$T43=1</formula>
    </cfRule>
  </conditionalFormatting>
  <conditionalFormatting sqref="N23">
    <cfRule type="expression" dxfId="228" priority="304">
      <formula>$T23=1</formula>
    </cfRule>
    <cfRule type="expression" dxfId="227" priority="305">
      <formula>IF(AND($N23&gt;$O23,$U23="予定"),TRUE,FALSE)</formula>
    </cfRule>
  </conditionalFormatting>
  <conditionalFormatting sqref="Q23">
    <cfRule type="expression" dxfId="226" priority="303">
      <formula>$T23=1</formula>
    </cfRule>
  </conditionalFormatting>
  <conditionalFormatting sqref="Q23">
    <cfRule type="expression" dxfId="225" priority="302">
      <formula>IF(AND($R23&lt;$E$19,$U23="予定"),IF($T23&lt;&gt;1,TRUE,FALSE),FALSE)</formula>
    </cfRule>
  </conditionalFormatting>
  <conditionalFormatting sqref="R23">
    <cfRule type="expression" dxfId="224" priority="301">
      <formula>IF(AND($Q23&lt;$E$19,$U23="予定"),IF($T23&lt;&gt;1,TRUE,FALSE),FALSE)</formula>
    </cfRule>
  </conditionalFormatting>
  <conditionalFormatting sqref="R23">
    <cfRule type="expression" dxfId="223" priority="300">
      <formula>$T23=1</formula>
    </cfRule>
  </conditionalFormatting>
  <conditionalFormatting sqref="R23">
    <cfRule type="expression" dxfId="222" priority="299">
      <formula>IF(AND($R23&lt;$E$19,$U23="予定"),IF($T23&lt;&gt;1,TRUE,FALSE),FALSE)</formula>
    </cfRule>
  </conditionalFormatting>
  <conditionalFormatting sqref="T24">
    <cfRule type="expression" dxfId="221" priority="298">
      <formula>$T24=1</formula>
    </cfRule>
  </conditionalFormatting>
  <conditionalFormatting sqref="L24">
    <cfRule type="expression" dxfId="220" priority="297">
      <formula>$T24=1</formula>
    </cfRule>
  </conditionalFormatting>
  <conditionalFormatting sqref="L24">
    <cfRule type="expression" dxfId="219" priority="294">
      <formula>IF(AND($N24&lt;$O24,$U24="予定"),TRUE,FALSE)</formula>
    </cfRule>
  </conditionalFormatting>
  <conditionalFormatting sqref="Q24">
    <cfRule type="expression" dxfId="218" priority="293">
      <formula>IF(AND($Q24&lt;$E$19,$U24="予定"),IF($T24&lt;&gt;1,TRUE,FALSE),FALSE)</formula>
    </cfRule>
  </conditionalFormatting>
  <conditionalFormatting sqref="Q24:S24">
    <cfRule type="expression" dxfId="217" priority="292">
      <formula>$T24=1</formula>
    </cfRule>
  </conditionalFormatting>
  <conditionalFormatting sqref="R24">
    <cfRule type="expression" dxfId="216" priority="291">
      <formula>IF(AND($R24&lt;$E$19,$U24="予定"),IF($T24&lt;&gt;1,TRUE,FALSE),FALSE)</formula>
    </cfRule>
  </conditionalFormatting>
  <conditionalFormatting sqref="K23">
    <cfRule type="expression" dxfId="215" priority="290">
      <formula>$T23=1</formula>
    </cfRule>
  </conditionalFormatting>
  <conditionalFormatting sqref="Q27">
    <cfRule type="expression" dxfId="214" priority="289">
      <formula>$T27=1</formula>
    </cfRule>
  </conditionalFormatting>
  <conditionalFormatting sqref="Q27">
    <cfRule type="expression" dxfId="213" priority="288">
      <formula>$T27=1</formula>
    </cfRule>
  </conditionalFormatting>
  <conditionalFormatting sqref="Q27">
    <cfRule type="expression" dxfId="212" priority="287">
      <formula>IF(AND($R27&lt;$E$19,$U27="予定"),IF($T27&lt;&gt;1,TRUE,FALSE),FALSE)</formula>
    </cfRule>
  </conditionalFormatting>
  <conditionalFormatting sqref="R27">
    <cfRule type="expression" dxfId="211" priority="286">
      <formula>$T27=1</formula>
    </cfRule>
  </conditionalFormatting>
  <conditionalFormatting sqref="R27">
    <cfRule type="expression" dxfId="210" priority="285">
      <formula>$T27=1</formula>
    </cfRule>
  </conditionalFormatting>
  <conditionalFormatting sqref="R27">
    <cfRule type="expression" dxfId="209" priority="284">
      <formula>IF(AND($R27&lt;$E$19,$U27="予定"),IF($T27&lt;&gt;1,TRUE,FALSE),FALSE)</formula>
    </cfRule>
  </conditionalFormatting>
  <conditionalFormatting sqref="Q28">
    <cfRule type="expression" dxfId="208" priority="283">
      <formula>$T28=1</formula>
    </cfRule>
  </conditionalFormatting>
  <conditionalFormatting sqref="Q28">
    <cfRule type="expression" dxfId="207" priority="282">
      <formula>IF(AND($R28&lt;$E$19,$U28="予定"),IF($T28&lt;&gt;1,TRUE,FALSE),FALSE)</formula>
    </cfRule>
  </conditionalFormatting>
  <conditionalFormatting sqref="Q28">
    <cfRule type="expression" dxfId="206" priority="281">
      <formula>$T28=1</formula>
    </cfRule>
  </conditionalFormatting>
  <conditionalFormatting sqref="Q28">
    <cfRule type="expression" dxfId="205" priority="280">
      <formula>$T28=1</formula>
    </cfRule>
  </conditionalFormatting>
  <conditionalFormatting sqref="Q28">
    <cfRule type="expression" dxfId="204" priority="279">
      <formula>IF(AND($R28&lt;$E$19,$U28="予定"),IF($T28&lt;&gt;1,TRUE,FALSE),FALSE)</formula>
    </cfRule>
  </conditionalFormatting>
  <conditionalFormatting sqref="R28">
    <cfRule type="expression" dxfId="203" priority="278">
      <formula>IF(AND($Q28&lt;$E$19,$U28="予定"),IF($T28&lt;&gt;1,TRUE,FALSE),FALSE)</formula>
    </cfRule>
  </conditionalFormatting>
  <conditionalFormatting sqref="R28">
    <cfRule type="expression" dxfId="202" priority="277">
      <formula>$T28=1</formula>
    </cfRule>
  </conditionalFormatting>
  <conditionalFormatting sqref="R28">
    <cfRule type="expression" dxfId="201" priority="276">
      <formula>$T28=1</formula>
    </cfRule>
  </conditionalFormatting>
  <conditionalFormatting sqref="R28">
    <cfRule type="expression" dxfId="200" priority="275">
      <formula>$T28=1</formula>
    </cfRule>
  </conditionalFormatting>
  <conditionalFormatting sqref="R28">
    <cfRule type="expression" dxfId="199" priority="274">
      <formula>IF(AND($R28&lt;$E$19,$U28="予定"),IF($T28&lt;&gt;1,TRUE,FALSE),FALSE)</formula>
    </cfRule>
  </conditionalFormatting>
  <conditionalFormatting sqref="P23">
    <cfRule type="expression" dxfId="198" priority="273">
      <formula>$T23=1</formula>
    </cfRule>
  </conditionalFormatting>
  <conditionalFormatting sqref="P23">
    <cfRule type="expression" dxfId="197" priority="272">
      <formula>IF(AND($N23&lt;$O23,$U23="予定"),TRUE,FALSE)</formula>
    </cfRule>
  </conditionalFormatting>
  <conditionalFormatting sqref="M24:P24">
    <cfRule type="expression" dxfId="196" priority="271">
      <formula>$T24=1</formula>
    </cfRule>
  </conditionalFormatting>
  <conditionalFormatting sqref="N24">
    <cfRule type="expression" dxfId="195" priority="270">
      <formula>$T24=1</formula>
    </cfRule>
  </conditionalFormatting>
  <conditionalFormatting sqref="N24">
    <cfRule type="expression" dxfId="194" priority="269">
      <formula>IF(AND($N24&gt;$O24,$U24="予定"),TRUE,FALSE)</formula>
    </cfRule>
  </conditionalFormatting>
  <conditionalFormatting sqref="O24:P24 M24">
    <cfRule type="expression" dxfId="193" priority="268">
      <formula>IF(AND($N24&lt;$O24,$U24="予定"),TRUE,FALSE)</formula>
    </cfRule>
  </conditionalFormatting>
  <conditionalFormatting sqref="Q29:R29 Q30">
    <cfRule type="expression" dxfId="192" priority="267">
      <formula>IF(AND($Q29&lt;$E$19,$U29="予定"),IF($T29&lt;&gt;1,TRUE,FALSE),FALSE)</formula>
    </cfRule>
  </conditionalFormatting>
  <conditionalFormatting sqref="Q29">
    <cfRule type="expression" dxfId="191" priority="266">
      <formula>$T29=1</formula>
    </cfRule>
  </conditionalFormatting>
  <conditionalFormatting sqref="Q30:R30">
    <cfRule type="expression" dxfId="190" priority="265">
      <formula>$T30=1</formula>
    </cfRule>
  </conditionalFormatting>
  <conditionalFormatting sqref="Q29:R29 R30">
    <cfRule type="expression" dxfId="189" priority="264">
      <formula>IF(AND($R29&lt;$E$19,$U29="予定"),IF($T29&lt;&gt;1,TRUE,FALSE),FALSE)</formula>
    </cfRule>
  </conditionalFormatting>
  <conditionalFormatting sqref="R29">
    <cfRule type="expression" dxfId="188" priority="260">
      <formula>$T29=1</formula>
    </cfRule>
    <cfRule type="expression" dxfId="187" priority="261">
      <formula>$T29=1</formula>
    </cfRule>
    <cfRule type="expression" dxfId="186" priority="262">
      <formula>$T29=1</formula>
    </cfRule>
    <cfRule type="expression" dxfId="185" priority="263">
      <formula>$T29=1</formula>
    </cfRule>
  </conditionalFormatting>
  <conditionalFormatting sqref="Q29">
    <cfRule type="expression" dxfId="184" priority="259">
      <formula>$T29=1</formula>
    </cfRule>
  </conditionalFormatting>
  <conditionalFormatting sqref="Q29">
    <cfRule type="expression" dxfId="183" priority="258">
      <formula>$T29=1</formula>
    </cfRule>
  </conditionalFormatting>
  <conditionalFormatting sqref="Q29">
    <cfRule type="expression" dxfId="182" priority="257">
      <formula>IF(AND($R29&lt;$E$19,$U29="予定"),IF($T29&lt;&gt;1,TRUE,FALSE),FALSE)</formula>
    </cfRule>
  </conditionalFormatting>
  <conditionalFormatting sqref="R29">
    <cfRule type="expression" dxfId="181" priority="256">
      <formula>$T29=1</formula>
    </cfRule>
  </conditionalFormatting>
  <conditionalFormatting sqref="R29">
    <cfRule type="expression" dxfId="180" priority="255">
      <formula>$T29=1</formula>
    </cfRule>
  </conditionalFormatting>
  <conditionalFormatting sqref="R29">
    <cfRule type="expression" dxfId="179" priority="254">
      <formula>IF(AND($R29&lt;$E$19,$U29="予定"),IF($T29&lt;&gt;1,TRUE,FALSE),FALSE)</formula>
    </cfRule>
  </conditionalFormatting>
  <conditionalFormatting sqref="Q30">
    <cfRule type="expression" dxfId="178" priority="253">
      <formula>$T30=1</formula>
    </cfRule>
  </conditionalFormatting>
  <conditionalFormatting sqref="Q30">
    <cfRule type="expression" dxfId="177" priority="252">
      <formula>IF(AND($R30&lt;$E$19,$U30="予定"),IF($T30&lt;&gt;1,TRUE,FALSE),FALSE)</formula>
    </cfRule>
  </conditionalFormatting>
  <conditionalFormatting sqref="Q30">
    <cfRule type="expression" dxfId="176" priority="251">
      <formula>$T30=1</formula>
    </cfRule>
  </conditionalFormatting>
  <conditionalFormatting sqref="Q30">
    <cfRule type="expression" dxfId="175" priority="250">
      <formula>$T30=1</formula>
    </cfRule>
  </conditionalFormatting>
  <conditionalFormatting sqref="Q30">
    <cfRule type="expression" dxfId="174" priority="249">
      <formula>IF(AND($R30&lt;$E$19,$U30="予定"),IF($T30&lt;&gt;1,TRUE,FALSE),FALSE)</formula>
    </cfRule>
  </conditionalFormatting>
  <conditionalFormatting sqref="R30">
    <cfRule type="expression" dxfId="173" priority="248">
      <formula>IF(AND($Q30&lt;$E$19,$U30="予定"),IF($T30&lt;&gt;1,TRUE,FALSE),FALSE)</formula>
    </cfRule>
  </conditionalFormatting>
  <conditionalFormatting sqref="R30">
    <cfRule type="expression" dxfId="172" priority="247">
      <formula>$T30=1</formula>
    </cfRule>
  </conditionalFormatting>
  <conditionalFormatting sqref="R30">
    <cfRule type="expression" dxfId="171" priority="246">
      <formula>$T30=1</formula>
    </cfRule>
  </conditionalFormatting>
  <conditionalFormatting sqref="R30">
    <cfRule type="expression" dxfId="170" priority="245">
      <formula>$T30=1</formula>
    </cfRule>
  </conditionalFormatting>
  <conditionalFormatting sqref="R30">
    <cfRule type="expression" dxfId="169" priority="244">
      <formula>IF(AND($R30&lt;$E$19,$U30="予定"),IF($T30&lt;&gt;1,TRUE,FALSE),FALSE)</formula>
    </cfRule>
  </conditionalFormatting>
  <conditionalFormatting sqref="Q31:R31 Q32">
    <cfRule type="expression" dxfId="168" priority="243">
      <formula>IF(AND($Q31&lt;$E$19,$U31="予定"),IF($T31&lt;&gt;1,TRUE,FALSE),FALSE)</formula>
    </cfRule>
  </conditionalFormatting>
  <conditionalFormatting sqref="Q31">
    <cfRule type="expression" dxfId="167" priority="242">
      <formula>$T31=1</formula>
    </cfRule>
  </conditionalFormatting>
  <conditionalFormatting sqref="Q32:R32">
    <cfRule type="expression" dxfId="166" priority="241">
      <formula>$T32=1</formula>
    </cfRule>
  </conditionalFormatting>
  <conditionalFormatting sqref="Q31:R31 R32">
    <cfRule type="expression" dxfId="165" priority="240">
      <formula>IF(AND($R31&lt;$E$19,$U31="予定"),IF($T31&lt;&gt;1,TRUE,FALSE),FALSE)</formula>
    </cfRule>
  </conditionalFormatting>
  <conditionalFormatting sqref="R31">
    <cfRule type="expression" dxfId="164" priority="236">
      <formula>$T31=1</formula>
    </cfRule>
    <cfRule type="expression" dxfId="163" priority="237">
      <formula>$T31=1</formula>
    </cfRule>
    <cfRule type="expression" dxfId="162" priority="238">
      <formula>$T31=1</formula>
    </cfRule>
    <cfRule type="expression" dxfId="161" priority="239">
      <formula>$T31=1</formula>
    </cfRule>
  </conditionalFormatting>
  <conditionalFormatting sqref="Q31">
    <cfRule type="expression" dxfId="160" priority="235">
      <formula>$T31=1</formula>
    </cfRule>
  </conditionalFormatting>
  <conditionalFormatting sqref="Q31">
    <cfRule type="expression" dxfId="159" priority="234">
      <formula>$T31=1</formula>
    </cfRule>
  </conditionalFormatting>
  <conditionalFormatting sqref="Q31">
    <cfRule type="expression" dxfId="158" priority="233">
      <formula>IF(AND($R31&lt;$E$19,$U31="予定"),IF($T31&lt;&gt;1,TRUE,FALSE),FALSE)</formula>
    </cfRule>
  </conditionalFormatting>
  <conditionalFormatting sqref="R31">
    <cfRule type="expression" dxfId="157" priority="232">
      <formula>$T31=1</formula>
    </cfRule>
  </conditionalFormatting>
  <conditionalFormatting sqref="R31">
    <cfRule type="expression" dxfId="156" priority="231">
      <formula>$T31=1</formula>
    </cfRule>
  </conditionalFormatting>
  <conditionalFormatting sqref="R31">
    <cfRule type="expression" dxfId="155" priority="230">
      <formula>IF(AND($R31&lt;$E$19,$U31="予定"),IF($T31&lt;&gt;1,TRUE,FALSE),FALSE)</formula>
    </cfRule>
  </conditionalFormatting>
  <conditionalFormatting sqref="Q32">
    <cfRule type="expression" dxfId="154" priority="229">
      <formula>$T32=1</formula>
    </cfRule>
  </conditionalFormatting>
  <conditionalFormatting sqref="Q32">
    <cfRule type="expression" dxfId="153" priority="228">
      <formula>IF(AND($R32&lt;$E$19,$U32="予定"),IF($T32&lt;&gt;1,TRUE,FALSE),FALSE)</formula>
    </cfRule>
  </conditionalFormatting>
  <conditionalFormatting sqref="Q32">
    <cfRule type="expression" dxfId="152" priority="227">
      <formula>$T32=1</formula>
    </cfRule>
  </conditionalFormatting>
  <conditionalFormatting sqref="Q32">
    <cfRule type="expression" dxfId="151" priority="226">
      <formula>$T32=1</formula>
    </cfRule>
  </conditionalFormatting>
  <conditionalFormatting sqref="Q32">
    <cfRule type="expression" dxfId="150" priority="225">
      <formula>IF(AND($R32&lt;$E$19,$U32="予定"),IF($T32&lt;&gt;1,TRUE,FALSE),FALSE)</formula>
    </cfRule>
  </conditionalFormatting>
  <conditionalFormatting sqref="R32">
    <cfRule type="expression" dxfId="149" priority="224">
      <formula>IF(AND($Q32&lt;$E$19,$U32="予定"),IF($T32&lt;&gt;1,TRUE,FALSE),FALSE)</formula>
    </cfRule>
  </conditionalFormatting>
  <conditionalFormatting sqref="R32">
    <cfRule type="expression" dxfId="148" priority="223">
      <formula>$T32=1</formula>
    </cfRule>
  </conditionalFormatting>
  <conditionalFormatting sqref="R32">
    <cfRule type="expression" dxfId="147" priority="222">
      <formula>$T32=1</formula>
    </cfRule>
  </conditionalFormatting>
  <conditionalFormatting sqref="R32">
    <cfRule type="expression" dxfId="146" priority="221">
      <formula>$T32=1</formula>
    </cfRule>
  </conditionalFormatting>
  <conditionalFormatting sqref="R32">
    <cfRule type="expression" dxfId="145" priority="220">
      <formula>IF(AND($R32&lt;$E$19,$U32="予定"),IF($T32&lt;&gt;1,TRUE,FALSE),FALSE)</formula>
    </cfRule>
  </conditionalFormatting>
  <conditionalFormatting sqref="Q33:R33">
    <cfRule type="expression" dxfId="144" priority="219">
      <formula>IF(AND($Q33&lt;$E$19,$U33="予定"),IF($T33&lt;&gt;1,TRUE,FALSE),FALSE)</formula>
    </cfRule>
  </conditionalFormatting>
  <conditionalFormatting sqref="Q33">
    <cfRule type="expression" dxfId="143" priority="218">
      <formula>$T33=1</formula>
    </cfRule>
  </conditionalFormatting>
  <conditionalFormatting sqref="Q33:R33">
    <cfRule type="expression" dxfId="142" priority="216">
      <formula>IF(AND($R33&lt;$E$19,$U33="予定"),IF($T33&lt;&gt;1,TRUE,FALSE),FALSE)</formula>
    </cfRule>
  </conditionalFormatting>
  <conditionalFormatting sqref="R33">
    <cfRule type="expression" dxfId="141" priority="212">
      <formula>$T33=1</formula>
    </cfRule>
    <cfRule type="expression" dxfId="140" priority="213">
      <formula>$T33=1</formula>
    </cfRule>
    <cfRule type="expression" dxfId="139" priority="214">
      <formula>$T33=1</formula>
    </cfRule>
    <cfRule type="expression" dxfId="138" priority="215">
      <formula>$T33=1</formula>
    </cfRule>
  </conditionalFormatting>
  <conditionalFormatting sqref="Q33">
    <cfRule type="expression" dxfId="137" priority="211">
      <formula>$T33=1</formula>
    </cfRule>
  </conditionalFormatting>
  <conditionalFormatting sqref="Q33">
    <cfRule type="expression" dxfId="136" priority="210">
      <formula>$T33=1</formula>
    </cfRule>
  </conditionalFormatting>
  <conditionalFormatting sqref="Q33">
    <cfRule type="expression" dxfId="135" priority="209">
      <formula>IF(AND($R33&lt;$E$19,$U33="予定"),IF($T33&lt;&gt;1,TRUE,FALSE),FALSE)</formula>
    </cfRule>
  </conditionalFormatting>
  <conditionalFormatting sqref="R33">
    <cfRule type="expression" dxfId="134" priority="208">
      <formula>$T33=1</formula>
    </cfRule>
  </conditionalFormatting>
  <conditionalFormatting sqref="R33">
    <cfRule type="expression" dxfId="133" priority="207">
      <formula>$T33=1</formula>
    </cfRule>
  </conditionalFormatting>
  <conditionalFormatting sqref="R33">
    <cfRule type="expression" dxfId="132" priority="206">
      <formula>IF(AND($R33&lt;$E$19,$U33="予定"),IF($T33&lt;&gt;1,TRUE,FALSE),FALSE)</formula>
    </cfRule>
  </conditionalFormatting>
  <conditionalFormatting sqref="Q34:R34">
    <cfRule type="expression" dxfId="131" priority="195">
      <formula>IF(AND($Q34&lt;$E$19,$U34="予定"),IF($T34&lt;&gt;1,TRUE,FALSE),FALSE)</formula>
    </cfRule>
  </conditionalFormatting>
  <conditionalFormatting sqref="Q34">
    <cfRule type="expression" dxfId="130" priority="194">
      <formula>$T34=1</formula>
    </cfRule>
  </conditionalFormatting>
  <conditionalFormatting sqref="Q34:R34">
    <cfRule type="expression" dxfId="129" priority="193">
      <formula>IF(AND($R34&lt;$E$19,$U34="予定"),IF($T34&lt;&gt;1,TRUE,FALSE),FALSE)</formula>
    </cfRule>
  </conditionalFormatting>
  <conditionalFormatting sqref="R34">
    <cfRule type="expression" dxfId="128" priority="189">
      <formula>$T34=1</formula>
    </cfRule>
    <cfRule type="expression" dxfId="127" priority="190">
      <formula>$T34=1</formula>
    </cfRule>
    <cfRule type="expression" dxfId="126" priority="191">
      <formula>$T34=1</formula>
    </cfRule>
    <cfRule type="expression" dxfId="125" priority="192">
      <formula>$T34=1</formula>
    </cfRule>
  </conditionalFormatting>
  <conditionalFormatting sqref="Q34">
    <cfRule type="expression" dxfId="124" priority="188">
      <formula>$T34=1</formula>
    </cfRule>
  </conditionalFormatting>
  <conditionalFormatting sqref="Q34">
    <cfRule type="expression" dxfId="123" priority="187">
      <formula>$T34=1</formula>
    </cfRule>
  </conditionalFormatting>
  <conditionalFormatting sqref="Q34">
    <cfRule type="expression" dxfId="122" priority="186">
      <formula>IF(AND($R34&lt;$E$19,$U34="予定"),IF($T34&lt;&gt;1,TRUE,FALSE),FALSE)</formula>
    </cfRule>
  </conditionalFormatting>
  <conditionalFormatting sqref="R34">
    <cfRule type="expression" dxfId="121" priority="185">
      <formula>$T34=1</formula>
    </cfRule>
  </conditionalFormatting>
  <conditionalFormatting sqref="R34">
    <cfRule type="expression" dxfId="120" priority="184">
      <formula>$T34=1</formula>
    </cfRule>
  </conditionalFormatting>
  <conditionalFormatting sqref="R34">
    <cfRule type="expression" dxfId="119" priority="183">
      <formula>IF(AND($R34&lt;$E$19,$U34="予定"),IF($T34&lt;&gt;1,TRUE,FALSE),FALSE)</formula>
    </cfRule>
  </conditionalFormatting>
  <conditionalFormatting sqref="Q36:R36">
    <cfRule type="expression" dxfId="118" priority="169">
      <formula>IF(AND($Q36&lt;$E$19,$U36="予定"),IF($T36&lt;&gt;1,TRUE,FALSE),FALSE)</formula>
    </cfRule>
  </conditionalFormatting>
  <conditionalFormatting sqref="Q36">
    <cfRule type="expression" dxfId="117" priority="168">
      <formula>$T36=1</formula>
    </cfRule>
  </conditionalFormatting>
  <conditionalFormatting sqref="Q36:R36">
    <cfRule type="expression" dxfId="116" priority="167">
      <formula>IF(AND($R36&lt;$E$19,$U36="予定"),IF($T36&lt;&gt;1,TRUE,FALSE),FALSE)</formula>
    </cfRule>
  </conditionalFormatting>
  <conditionalFormatting sqref="R36">
    <cfRule type="expression" dxfId="115" priority="163">
      <formula>$T36=1</formula>
    </cfRule>
    <cfRule type="expression" dxfId="114" priority="164">
      <formula>$T36=1</formula>
    </cfRule>
    <cfRule type="expression" dxfId="113" priority="165">
      <formula>$T36=1</formula>
    </cfRule>
    <cfRule type="expression" dxfId="112" priority="166">
      <formula>$T36=1</formula>
    </cfRule>
  </conditionalFormatting>
  <conditionalFormatting sqref="Q36">
    <cfRule type="expression" dxfId="111" priority="162">
      <formula>$T36=1</formula>
    </cfRule>
  </conditionalFormatting>
  <conditionalFormatting sqref="Q36">
    <cfRule type="expression" dxfId="110" priority="161">
      <formula>$T36=1</formula>
    </cfRule>
  </conditionalFormatting>
  <conditionalFormatting sqref="Q36">
    <cfRule type="expression" dxfId="109" priority="160">
      <formula>IF(AND($R36&lt;$E$19,$U36="予定"),IF($T36&lt;&gt;1,TRUE,FALSE),FALSE)</formula>
    </cfRule>
  </conditionalFormatting>
  <conditionalFormatting sqref="R36">
    <cfRule type="expression" dxfId="108" priority="159">
      <formula>$T36=1</formula>
    </cfRule>
  </conditionalFormatting>
  <conditionalFormatting sqref="R36">
    <cfRule type="expression" dxfId="107" priority="158">
      <formula>$T36=1</formula>
    </cfRule>
  </conditionalFormatting>
  <conditionalFormatting sqref="R36">
    <cfRule type="expression" dxfId="106" priority="157">
      <formula>IF(AND($R36&lt;$E$19,$U36="予定"),IF($T36&lt;&gt;1,TRUE,FALSE),FALSE)</formula>
    </cfRule>
  </conditionalFormatting>
  <conditionalFormatting sqref="Q41">
    <cfRule type="expression" dxfId="105" priority="128">
      <formula>IF(AND($Q41&lt;$E$19,$U41="予定"),IF($T41&lt;&gt;1,TRUE,FALSE),FALSE)</formula>
    </cfRule>
  </conditionalFormatting>
  <conditionalFormatting sqref="Q41">
    <cfRule type="expression" dxfId="104" priority="127">
      <formula>$T41=1</formula>
    </cfRule>
  </conditionalFormatting>
  <conditionalFormatting sqref="Q41">
    <cfRule type="expression" dxfId="103" priority="126">
      <formula>IF(AND($R41&lt;$E$19,$U41="予定"),IF($T41&lt;&gt;1,TRUE,FALSE),FALSE)</formula>
    </cfRule>
  </conditionalFormatting>
  <conditionalFormatting sqref="Q41">
    <cfRule type="expression" dxfId="102" priority="125">
      <formula>$T41=1</formula>
    </cfRule>
  </conditionalFormatting>
  <conditionalFormatting sqref="Q41">
    <cfRule type="expression" dxfId="101" priority="124">
      <formula>$T41=1</formula>
    </cfRule>
  </conditionalFormatting>
  <conditionalFormatting sqref="Q41">
    <cfRule type="expression" dxfId="100" priority="123">
      <formula>IF(AND($R41&lt;$E$19,$U41="予定"),IF($T41&lt;&gt;1,TRUE,FALSE),FALSE)</formula>
    </cfRule>
  </conditionalFormatting>
  <conditionalFormatting sqref="Q37">
    <cfRule type="expression" dxfId="99" priority="112">
      <formula>IF(AND($Q37&lt;$E$19,$U37="予定"),IF($T37&lt;&gt;1,TRUE,FALSE),FALSE)</formula>
    </cfRule>
  </conditionalFormatting>
  <conditionalFormatting sqref="Q37">
    <cfRule type="expression" dxfId="98" priority="111">
      <formula>$T37=1</formula>
    </cfRule>
  </conditionalFormatting>
  <conditionalFormatting sqref="Q37">
    <cfRule type="expression" dxfId="97" priority="110">
      <formula>IF(AND($R37&lt;$E$19,$U37="予定"),IF($T37&lt;&gt;1,TRUE,FALSE),FALSE)</formula>
    </cfRule>
  </conditionalFormatting>
  <conditionalFormatting sqref="Q37">
    <cfRule type="expression" dxfId="96" priority="109">
      <formula>$T37=1</formula>
    </cfRule>
  </conditionalFormatting>
  <conditionalFormatting sqref="Q37">
    <cfRule type="expression" dxfId="95" priority="108">
      <formula>$T37=1</formula>
    </cfRule>
  </conditionalFormatting>
  <conditionalFormatting sqref="Q37">
    <cfRule type="expression" dxfId="94" priority="107">
      <formula>IF(AND($R37&lt;$E$19,$U37="予定"),IF($T37&lt;&gt;1,TRUE,FALSE),FALSE)</formula>
    </cfRule>
  </conditionalFormatting>
  <conditionalFormatting sqref="R37">
    <cfRule type="expression" dxfId="93" priority="106">
      <formula>IF(AND($Q37&lt;$E$19,$U37="予定"),IF($T37&lt;&gt;1,TRUE,FALSE),FALSE)</formula>
    </cfRule>
  </conditionalFormatting>
  <conditionalFormatting sqref="R37">
    <cfRule type="expression" dxfId="92" priority="105">
      <formula>$T37=1</formula>
    </cfRule>
  </conditionalFormatting>
  <conditionalFormatting sqref="R37">
    <cfRule type="expression" dxfId="91" priority="104">
      <formula>IF(AND($R37&lt;$E$19,$U37="予定"),IF($T37&lt;&gt;1,TRUE,FALSE),FALSE)</formula>
    </cfRule>
  </conditionalFormatting>
  <conditionalFormatting sqref="R37">
    <cfRule type="expression" dxfId="90" priority="103">
      <formula>$T37=1</formula>
    </cfRule>
  </conditionalFormatting>
  <conditionalFormatting sqref="R37">
    <cfRule type="expression" dxfId="89" priority="102">
      <formula>$T37=1</formula>
    </cfRule>
  </conditionalFormatting>
  <conditionalFormatting sqref="R37">
    <cfRule type="expression" dxfId="88" priority="101">
      <formula>IF(AND($R37&lt;$E$19,$U37="予定"),IF($T37&lt;&gt;1,TRUE,FALSE),FALSE)</formula>
    </cfRule>
  </conditionalFormatting>
  <conditionalFormatting sqref="Q39">
    <cfRule type="expression" dxfId="87" priority="100">
      <formula>IF(AND($Q39&lt;$E$19,$U39="予定"),IF($T39&lt;&gt;1,TRUE,FALSE),FALSE)</formula>
    </cfRule>
  </conditionalFormatting>
  <conditionalFormatting sqref="Q39">
    <cfRule type="expression" dxfId="86" priority="99">
      <formula>$T39=1</formula>
    </cfRule>
  </conditionalFormatting>
  <conditionalFormatting sqref="Q39">
    <cfRule type="expression" dxfId="85" priority="98">
      <formula>IF(AND($R39&lt;$E$19,$U39="予定"),IF($T39&lt;&gt;1,TRUE,FALSE),FALSE)</formula>
    </cfRule>
  </conditionalFormatting>
  <conditionalFormatting sqref="Q39">
    <cfRule type="expression" dxfId="84" priority="97">
      <formula>$T39=1</formula>
    </cfRule>
  </conditionalFormatting>
  <conditionalFormatting sqref="Q39">
    <cfRule type="expression" dxfId="83" priority="96">
      <formula>$T39=1</formula>
    </cfRule>
  </conditionalFormatting>
  <conditionalFormatting sqref="Q39">
    <cfRule type="expression" dxfId="82" priority="95">
      <formula>IF(AND($R39&lt;$E$19,$U39="予定"),IF($T39&lt;&gt;1,TRUE,FALSE),FALSE)</formula>
    </cfRule>
  </conditionalFormatting>
  <conditionalFormatting sqref="R39">
    <cfRule type="expression" dxfId="81" priority="94">
      <formula>IF(AND($Q39&lt;$E$19,$U39="予定"),IF($T39&lt;&gt;1,TRUE,FALSE),FALSE)</formula>
    </cfRule>
  </conditionalFormatting>
  <conditionalFormatting sqref="R39">
    <cfRule type="expression" dxfId="80" priority="93">
      <formula>$T39=1</formula>
    </cfRule>
  </conditionalFormatting>
  <conditionalFormatting sqref="R39">
    <cfRule type="expression" dxfId="79" priority="92">
      <formula>IF(AND($R39&lt;$E$19,$U39="予定"),IF($T39&lt;&gt;1,TRUE,FALSE),FALSE)</formula>
    </cfRule>
  </conditionalFormatting>
  <conditionalFormatting sqref="R39">
    <cfRule type="expression" dxfId="78" priority="91">
      <formula>$T39=1</formula>
    </cfRule>
  </conditionalFormatting>
  <conditionalFormatting sqref="R39">
    <cfRule type="expression" dxfId="77" priority="90">
      <formula>$T39=1</formula>
    </cfRule>
  </conditionalFormatting>
  <conditionalFormatting sqref="R39">
    <cfRule type="expression" dxfId="76" priority="89">
      <formula>IF(AND($R39&lt;$E$19,$U39="予定"),IF($T39&lt;&gt;1,TRUE,FALSE),FALSE)</formula>
    </cfRule>
  </conditionalFormatting>
  <conditionalFormatting sqref="R41">
    <cfRule type="expression" dxfId="75" priority="88">
      <formula>IF(AND($Q41&lt;$E$19,$U41="予定"),IF($T41&lt;&gt;1,TRUE,FALSE),FALSE)</formula>
    </cfRule>
  </conditionalFormatting>
  <conditionalFormatting sqref="R41">
    <cfRule type="expression" dxfId="74" priority="87">
      <formula>$T41=1</formula>
    </cfRule>
  </conditionalFormatting>
  <conditionalFormatting sqref="R41">
    <cfRule type="expression" dxfId="73" priority="86">
      <formula>IF(AND($R41&lt;$E$19,$U41="予定"),IF($T41&lt;&gt;1,TRUE,FALSE),FALSE)</formula>
    </cfRule>
  </conditionalFormatting>
  <conditionalFormatting sqref="R41">
    <cfRule type="expression" dxfId="72" priority="85">
      <formula>$T41=1</formula>
    </cfRule>
  </conditionalFormatting>
  <conditionalFormatting sqref="R41">
    <cfRule type="expression" dxfId="71" priority="84">
      <formula>$T41=1</formula>
    </cfRule>
  </conditionalFormatting>
  <conditionalFormatting sqref="R41">
    <cfRule type="expression" dxfId="70" priority="83">
      <formula>IF(AND($R41&lt;$E$19,$U41="予定"),IF($T41&lt;&gt;1,TRUE,FALSE),FALSE)</formula>
    </cfRule>
  </conditionalFormatting>
  <conditionalFormatting sqref="Q44:R44">
    <cfRule type="expression" dxfId="69" priority="82">
      <formula>$T44=1</formula>
    </cfRule>
  </conditionalFormatting>
  <conditionalFormatting sqref="Q44 Q46">
    <cfRule type="expression" dxfId="68" priority="81">
      <formula>IF(AND($Q44&lt;$E$19,$U44="予定"),IF($T44&lt;&gt;1,TRUE,FALSE),FALSE)</formula>
    </cfRule>
  </conditionalFormatting>
  <conditionalFormatting sqref="Q46:R46">
    <cfRule type="expression" dxfId="67" priority="80">
      <formula>$T46=1</formula>
    </cfRule>
  </conditionalFormatting>
  <conditionalFormatting sqref="R44 R46">
    <cfRule type="expression" dxfId="66" priority="79">
      <formula>IF(AND($R44&lt;$E$19,$U44="予定"),IF($T44&lt;&gt;1,TRUE,FALSE),FALSE)</formula>
    </cfRule>
  </conditionalFormatting>
  <conditionalFormatting sqref="Q45">
    <cfRule type="expression" dxfId="65" priority="78">
      <formula>IF(AND($Q45&lt;$E$19,$U45="予定"),IF($T45&lt;&gt;1,TRUE,FALSE),FALSE)</formula>
    </cfRule>
  </conditionalFormatting>
  <conditionalFormatting sqref="Q45">
    <cfRule type="expression" dxfId="64" priority="77">
      <formula>$T45=1</formula>
    </cfRule>
  </conditionalFormatting>
  <conditionalFormatting sqref="Q45">
    <cfRule type="expression" dxfId="63" priority="76">
      <formula>IF(AND($R45&lt;$E$19,$U45="予定"),IF($T45&lt;&gt;1,TRUE,FALSE),FALSE)</formula>
    </cfRule>
  </conditionalFormatting>
  <conditionalFormatting sqref="Q45">
    <cfRule type="expression" dxfId="62" priority="75">
      <formula>$T45=1</formula>
    </cfRule>
  </conditionalFormatting>
  <conditionalFormatting sqref="Q45">
    <cfRule type="expression" dxfId="61" priority="74">
      <formula>$T45=1</formula>
    </cfRule>
  </conditionalFormatting>
  <conditionalFormatting sqref="Q45">
    <cfRule type="expression" dxfId="60" priority="73">
      <formula>IF(AND($R45&lt;$E$19,$U45="予定"),IF($T45&lt;&gt;1,TRUE,FALSE),FALSE)</formula>
    </cfRule>
  </conditionalFormatting>
  <conditionalFormatting sqref="Q43">
    <cfRule type="expression" dxfId="59" priority="72">
      <formula>IF(AND($Q43&lt;$E$19,$U43="予定"),IF($T43&lt;&gt;1,TRUE,FALSE),FALSE)</formula>
    </cfRule>
  </conditionalFormatting>
  <conditionalFormatting sqref="Q43">
    <cfRule type="expression" dxfId="58" priority="71">
      <formula>$T43=1</formula>
    </cfRule>
  </conditionalFormatting>
  <conditionalFormatting sqref="Q43">
    <cfRule type="expression" dxfId="57" priority="70">
      <formula>IF(AND($R43&lt;$E$19,$U43="予定"),IF($T43&lt;&gt;1,TRUE,FALSE),FALSE)</formula>
    </cfRule>
  </conditionalFormatting>
  <conditionalFormatting sqref="Q43">
    <cfRule type="expression" dxfId="56" priority="69">
      <formula>$T43=1</formula>
    </cfRule>
  </conditionalFormatting>
  <conditionalFormatting sqref="Q43">
    <cfRule type="expression" dxfId="55" priority="68">
      <formula>$T43=1</formula>
    </cfRule>
  </conditionalFormatting>
  <conditionalFormatting sqref="Q43">
    <cfRule type="expression" dxfId="54" priority="67">
      <formula>IF(AND($R43&lt;$E$19,$U43="予定"),IF($T43&lt;&gt;1,TRUE,FALSE),FALSE)</formula>
    </cfRule>
  </conditionalFormatting>
  <conditionalFormatting sqref="R43">
    <cfRule type="expression" dxfId="53" priority="66">
      <formula>IF(AND($Q43&lt;$E$19,$U43="予定"),IF($T43&lt;&gt;1,TRUE,FALSE),FALSE)</formula>
    </cfRule>
  </conditionalFormatting>
  <conditionalFormatting sqref="R43">
    <cfRule type="expression" dxfId="52" priority="65">
      <formula>$T43=1</formula>
    </cfRule>
  </conditionalFormatting>
  <conditionalFormatting sqref="R43">
    <cfRule type="expression" dxfId="51" priority="64">
      <formula>IF(AND($R43&lt;$E$19,$U43="予定"),IF($T43&lt;&gt;1,TRUE,FALSE),FALSE)</formula>
    </cfRule>
  </conditionalFormatting>
  <conditionalFormatting sqref="R43">
    <cfRule type="expression" dxfId="50" priority="63">
      <formula>$T43=1</formula>
    </cfRule>
  </conditionalFormatting>
  <conditionalFormatting sqref="R43">
    <cfRule type="expression" dxfId="49" priority="62">
      <formula>$T43=1</formula>
    </cfRule>
  </conditionalFormatting>
  <conditionalFormatting sqref="R43">
    <cfRule type="expression" dxfId="48" priority="61">
      <formula>IF(AND($R43&lt;$E$19,$U43="予定"),IF($T43&lt;&gt;1,TRUE,FALSE),FALSE)</formula>
    </cfRule>
  </conditionalFormatting>
  <conditionalFormatting sqref="R45">
    <cfRule type="expression" dxfId="47" priority="60">
      <formula>IF(AND($Q45&lt;$E$19,$U45="予定"),IF($T45&lt;&gt;1,TRUE,FALSE),FALSE)</formula>
    </cfRule>
  </conditionalFormatting>
  <conditionalFormatting sqref="R45">
    <cfRule type="expression" dxfId="46" priority="59">
      <formula>$T45=1</formula>
    </cfRule>
  </conditionalFormatting>
  <conditionalFormatting sqref="R45">
    <cfRule type="expression" dxfId="45" priority="58">
      <formula>IF(AND($R45&lt;$E$19,$U45="予定"),IF($T45&lt;&gt;1,TRUE,FALSE),FALSE)</formula>
    </cfRule>
  </conditionalFormatting>
  <conditionalFormatting sqref="R45">
    <cfRule type="expression" dxfId="44" priority="57">
      <formula>$T45=1</formula>
    </cfRule>
  </conditionalFormatting>
  <conditionalFormatting sqref="R45">
    <cfRule type="expression" dxfId="43" priority="56">
      <formula>$T45=1</formula>
    </cfRule>
  </conditionalFormatting>
  <conditionalFormatting sqref="R45">
    <cfRule type="expression" dxfId="42" priority="55">
      <formula>IF(AND($R45&lt;$E$19,$U45="予定"),IF($T45&lt;&gt;1,TRUE,FALSE),FALSE)</formula>
    </cfRule>
  </conditionalFormatting>
  <conditionalFormatting sqref="Q48">
    <cfRule type="expression" dxfId="41" priority="54">
      <formula>IF(AND($Q48&lt;$E$19,$U48="予定"),IF($T48&lt;&gt;1,TRUE,FALSE),FALSE)</formula>
    </cfRule>
  </conditionalFormatting>
  <conditionalFormatting sqref="Q48:R48">
    <cfRule type="expression" dxfId="40" priority="53">
      <formula>$T48=1</formula>
    </cfRule>
  </conditionalFormatting>
  <conditionalFormatting sqref="R48">
    <cfRule type="expression" dxfId="39" priority="52">
      <formula>IF(AND($R48&lt;$E$19,$U48="予定"),IF($T48&lt;&gt;1,TRUE,FALSE),FALSE)</formula>
    </cfRule>
  </conditionalFormatting>
  <conditionalFormatting sqref="Q47">
    <cfRule type="expression" dxfId="38" priority="51">
      <formula>IF(AND($Q47&lt;$E$19,$U47="予定"),IF($T47&lt;&gt;1,TRUE,FALSE),FALSE)</formula>
    </cfRule>
  </conditionalFormatting>
  <conditionalFormatting sqref="Q47">
    <cfRule type="expression" dxfId="37" priority="50">
      <formula>$T47=1</formula>
    </cfRule>
  </conditionalFormatting>
  <conditionalFormatting sqref="Q47">
    <cfRule type="expression" dxfId="36" priority="49">
      <formula>IF(AND($R47&lt;$E$19,$U47="予定"),IF($T47&lt;&gt;1,TRUE,FALSE),FALSE)</formula>
    </cfRule>
  </conditionalFormatting>
  <conditionalFormatting sqref="Q47">
    <cfRule type="expression" dxfId="35" priority="48">
      <formula>$T47=1</formula>
    </cfRule>
  </conditionalFormatting>
  <conditionalFormatting sqref="Q47">
    <cfRule type="expression" dxfId="34" priority="47">
      <formula>$T47=1</formula>
    </cfRule>
  </conditionalFormatting>
  <conditionalFormatting sqref="Q47">
    <cfRule type="expression" dxfId="33" priority="46">
      <formula>IF(AND($R47&lt;$E$19,$U47="予定"),IF($T47&lt;&gt;1,TRUE,FALSE),FALSE)</formula>
    </cfRule>
  </conditionalFormatting>
  <conditionalFormatting sqref="R47">
    <cfRule type="expression" dxfId="32" priority="45">
      <formula>IF(AND($Q47&lt;$E$19,$U47="予定"),IF($T47&lt;&gt;1,TRUE,FALSE),FALSE)</formula>
    </cfRule>
  </conditionalFormatting>
  <conditionalFormatting sqref="R47">
    <cfRule type="expression" dxfId="31" priority="44">
      <formula>$T47=1</formula>
    </cfRule>
  </conditionalFormatting>
  <conditionalFormatting sqref="R47">
    <cfRule type="expression" dxfId="30" priority="43">
      <formula>IF(AND($R47&lt;$E$19,$U47="予定"),IF($T47&lt;&gt;1,TRUE,FALSE),FALSE)</formula>
    </cfRule>
  </conditionalFormatting>
  <conditionalFormatting sqref="R47">
    <cfRule type="expression" dxfId="29" priority="42">
      <formula>$T47=1</formula>
    </cfRule>
  </conditionalFormatting>
  <conditionalFormatting sqref="R47">
    <cfRule type="expression" dxfId="28" priority="41">
      <formula>$T47=1</formula>
    </cfRule>
  </conditionalFormatting>
  <conditionalFormatting sqref="R47">
    <cfRule type="expression" dxfId="27" priority="40">
      <formula>IF(AND($R47&lt;$E$19,$U47="予定"),IF($T47&lt;&gt;1,TRUE,FALSE),FALSE)</formula>
    </cfRule>
  </conditionalFormatting>
  <conditionalFormatting sqref="Q50">
    <cfRule type="expression" dxfId="26" priority="39">
      <formula>IF(AND($Q50&lt;$E$19,$U50="予定"),IF($T50&lt;&gt;1,TRUE,FALSE),FALSE)</formula>
    </cfRule>
  </conditionalFormatting>
  <conditionalFormatting sqref="Q50:R50">
    <cfRule type="expression" dxfId="25" priority="38">
      <formula>$T50=1</formula>
    </cfRule>
  </conditionalFormatting>
  <conditionalFormatting sqref="R50">
    <cfRule type="expression" dxfId="24" priority="37">
      <formula>IF(AND($R50&lt;$E$19,$U50="予定"),IF($T50&lt;&gt;1,TRUE,FALSE),FALSE)</formula>
    </cfRule>
  </conditionalFormatting>
  <conditionalFormatting sqref="Q49">
    <cfRule type="expression" dxfId="23" priority="36">
      <formula>IF(AND($Q49&lt;$E$19,$U49="予定"),IF($T49&lt;&gt;1,TRUE,FALSE),FALSE)</formula>
    </cfRule>
  </conditionalFormatting>
  <conditionalFormatting sqref="Q49">
    <cfRule type="expression" dxfId="22" priority="35">
      <formula>$T49=1</formula>
    </cfRule>
  </conditionalFormatting>
  <conditionalFormatting sqref="Q49">
    <cfRule type="expression" dxfId="21" priority="34">
      <formula>IF(AND($R49&lt;$E$19,$U49="予定"),IF($T49&lt;&gt;1,TRUE,FALSE),FALSE)</formula>
    </cfRule>
  </conditionalFormatting>
  <conditionalFormatting sqref="Q49">
    <cfRule type="expression" dxfId="20" priority="33">
      <formula>$T49=1</formula>
    </cfRule>
  </conditionalFormatting>
  <conditionalFormatting sqref="Q49">
    <cfRule type="expression" dxfId="19" priority="32">
      <formula>$T49=1</formula>
    </cfRule>
  </conditionalFormatting>
  <conditionalFormatting sqref="Q49">
    <cfRule type="expression" dxfId="18" priority="31">
      <formula>IF(AND($R49&lt;$E$19,$U49="予定"),IF($T49&lt;&gt;1,TRUE,FALSE),FALSE)</formula>
    </cfRule>
  </conditionalFormatting>
  <conditionalFormatting sqref="R49">
    <cfRule type="expression" dxfId="17" priority="24">
      <formula>IF(AND($Q49&lt;$E$19,$U49="予定"),IF($T49&lt;&gt;1,TRUE,FALSE),FALSE)</formula>
    </cfRule>
  </conditionalFormatting>
  <conditionalFormatting sqref="R49">
    <cfRule type="expression" dxfId="16" priority="23">
      <formula>$T49=1</formula>
    </cfRule>
  </conditionalFormatting>
  <conditionalFormatting sqref="R49">
    <cfRule type="expression" dxfId="15" priority="22">
      <formula>IF(AND($R49&lt;$E$19,$U49="予定"),IF($T49&lt;&gt;1,TRUE,FALSE),FALSE)</formula>
    </cfRule>
  </conditionalFormatting>
  <conditionalFormatting sqref="R49">
    <cfRule type="expression" dxfId="14" priority="21">
      <formula>$T49=1</formula>
    </cfRule>
  </conditionalFormatting>
  <conditionalFormatting sqref="R49">
    <cfRule type="expression" dxfId="13" priority="20">
      <formula>$T49=1</formula>
    </cfRule>
  </conditionalFormatting>
  <conditionalFormatting sqref="R49">
    <cfRule type="expression" dxfId="12" priority="19">
      <formula>IF(AND($R49&lt;$E$19,$U49="予定"),IF($T49&lt;&gt;1,TRUE,FALSE),FALSE)</formula>
    </cfRule>
  </conditionalFormatting>
  <conditionalFormatting sqref="Q35">
    <cfRule type="expression" dxfId="11" priority="18">
      <formula>IF(AND($Q35&lt;$E$19,$U35="予定"),IF($T35&lt;&gt;1,TRUE,FALSE),FALSE)</formula>
    </cfRule>
  </conditionalFormatting>
  <conditionalFormatting sqref="Q35">
    <cfRule type="expression" dxfId="10" priority="17">
      <formula>$T35=1</formula>
    </cfRule>
  </conditionalFormatting>
  <conditionalFormatting sqref="Q35">
    <cfRule type="expression" dxfId="9" priority="16">
      <formula>IF(AND($R35&lt;$E$19,$U35="予定"),IF($T35&lt;&gt;1,TRUE,FALSE),FALSE)</formula>
    </cfRule>
  </conditionalFormatting>
  <conditionalFormatting sqref="Q35">
    <cfRule type="expression" dxfId="8" priority="15">
      <formula>$T35=1</formula>
    </cfRule>
  </conditionalFormatting>
  <conditionalFormatting sqref="Q35">
    <cfRule type="expression" dxfId="7" priority="14">
      <formula>$T35=1</formula>
    </cfRule>
  </conditionalFormatting>
  <conditionalFormatting sqref="Q35">
    <cfRule type="expression" dxfId="6" priority="13">
      <formula>IF(AND($R35&lt;$E$19,$U35="予定"),IF($T35&lt;&gt;1,TRUE,FALSE),FALSE)</formula>
    </cfRule>
  </conditionalFormatting>
  <conditionalFormatting sqref="R35">
    <cfRule type="expression" dxfId="5" priority="6">
      <formula>IF(AND($Q35&lt;$E$19,$U35="予定"),IF($T35&lt;&gt;1,TRUE,FALSE),FALSE)</formula>
    </cfRule>
  </conditionalFormatting>
  <conditionalFormatting sqref="R35">
    <cfRule type="expression" dxfId="4" priority="5">
      <formula>$T35=1</formula>
    </cfRule>
  </conditionalFormatting>
  <conditionalFormatting sqref="R35">
    <cfRule type="expression" dxfId="3" priority="4">
      <formula>IF(AND($R35&lt;$E$19,$U35="予定"),IF($T35&lt;&gt;1,TRUE,FALSE),FALSE)</formula>
    </cfRule>
  </conditionalFormatting>
  <conditionalFormatting sqref="R35">
    <cfRule type="expression" dxfId="2" priority="3">
      <formula>$T35=1</formula>
    </cfRule>
  </conditionalFormatting>
  <conditionalFormatting sqref="R35">
    <cfRule type="expression" dxfId="1" priority="2">
      <formula>$T35=1</formula>
    </cfRule>
  </conditionalFormatting>
  <conditionalFormatting sqref="R35">
    <cfRule type="expression" dxfId="0" priority="1">
      <formula>IF(AND($R35&lt;$E$19,$U35="予定"),IF($T35&lt;&gt;1,TRUE,FALSE),FALSE)</formula>
    </cfRule>
  </conditionalFormatting>
  <dataValidations count="2">
    <dataValidation type="list" allowBlank="1" showInputMessage="1" sqref="R3">
      <formula1>"1月,2月,3月,4月,5月,6月,7月,8月,9月,10月,11月,12月"</formula1>
    </dataValidation>
    <dataValidation type="list" allowBlank="1" showInputMessage="1" showErrorMessage="1" sqref="K29 K27 K31 K33 K37 K35 K39 K41 K45 K43 K47 K49 K23">
      <formula1>"Person1,Person2,Person3,Person4,Person5,Person6"</formula1>
    </dataValidation>
  </dataValidations>
  <pageMargins left="0.70866141732283472" right="0.70866141732283472" top="0.74803149606299213" bottom="0.74803149606299213" header="0.31496062992125984" footer="0.31496062992125984"/>
  <pageSetup paperSize="8"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D10" sqref="D10"/>
    </sheetView>
  </sheetViews>
  <sheetFormatPr defaultRowHeight="15"/>
  <cols>
    <col min="1" max="1" width="10.140625" bestFit="1" customWidth="1"/>
  </cols>
  <sheetData>
    <row r="1" spans="1:1">
      <c r="A1" s="115">
        <v>46125</v>
      </c>
    </row>
    <row r="2" spans="1:1">
      <c r="A2" s="115">
        <v>46126</v>
      </c>
    </row>
    <row r="3" spans="1:1">
      <c r="A3" s="115">
        <v>46127</v>
      </c>
    </row>
    <row r="4" spans="1:1">
      <c r="A4" s="115">
        <v>46128</v>
      </c>
    </row>
    <row r="5" spans="1:1">
      <c r="A5" s="115">
        <v>46129</v>
      </c>
    </row>
    <row r="6" spans="1:1">
      <c r="A6" s="115"/>
    </row>
    <row r="7" spans="1:1">
      <c r="A7" s="115"/>
    </row>
    <row r="8" spans="1:1">
      <c r="A8" s="115"/>
    </row>
    <row r="9" spans="1:1">
      <c r="A9" s="1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Holidays</vt:lpstr>
    </vt:vector>
  </TitlesOfParts>
  <Company>ポールトゥウィン株式会社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BCMM161</dc:creator>
  <cp:lastModifiedBy>BCMM149</cp:lastModifiedBy>
  <cp:lastPrinted>2019-05-29T07:29:32Z</cp:lastPrinted>
  <dcterms:created xsi:type="dcterms:W3CDTF">2017-02-03T01:52:57Z</dcterms:created>
  <dcterms:modified xsi:type="dcterms:W3CDTF">2026-04-26T03:59:42Z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969a3d75-7b3e-4a26-95b9-4920caec2e25</vt:lpwstr>
  </property>
</Properties>
</file>